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iswarya Menon\DAM_70 EXCEL\"/>
    </mc:Choice>
  </mc:AlternateContent>
  <xr:revisionPtr revIDLastSave="0" documentId="13_ncr:9_{A333E900-E328-495F-A3E3-4DB130889D4C}" xr6:coauthVersionLast="47" xr6:coauthVersionMax="47" xr10:uidLastSave="{00000000-0000-0000-0000-000000000000}"/>
  <bookViews>
    <workbookView xWindow="-108" yWindow="-108" windowWidth="23256" windowHeight="13896" activeTab="4" xr2:uid="{D5A759D9-C37A-404F-801B-7C382FE3B07D}"/>
  </bookViews>
  <sheets>
    <sheet name="Consumers" sheetId="3" r:id="rId1"/>
    <sheet name="Consumer Preferences" sheetId="1" r:id="rId2"/>
    <sheet name="Ratings" sheetId="4" r:id="rId3"/>
    <sheet name="Restaurant Cuisines" sheetId="6" r:id="rId4"/>
    <sheet name="Restaurants" sheetId="7" r:id="rId5"/>
  </sheets>
  <definedNames>
    <definedName name="_xlnm._FilterDatabase" localSheetId="0" hidden="1">'Consumers'!$B$1:$B$139</definedName>
  </definedNames>
  <calcPr calcId="0"/>
</workbook>
</file>

<file path=xl/calcChain.xml><?xml version="1.0" encoding="utf-8"?>
<calcChain xmlns="http://schemas.openxmlformats.org/spreadsheetml/2006/main">
  <c r="F20" i="4" l="1"/>
  <c r="G20" i="4"/>
  <c r="H20" i="4"/>
  <c r="F25" i="4"/>
  <c r="G25" i="4"/>
  <c r="H25" i="4"/>
  <c r="F26" i="4"/>
  <c r="G26" i="4"/>
  <c r="H26" i="4"/>
  <c r="F36" i="4"/>
  <c r="G36" i="4"/>
  <c r="H36" i="4"/>
  <c r="F37" i="4"/>
  <c r="G37" i="4"/>
  <c r="H37" i="4"/>
  <c r="F40" i="4"/>
  <c r="G40" i="4"/>
  <c r="H40" i="4"/>
  <c r="F42" i="4"/>
  <c r="G42" i="4"/>
  <c r="H42" i="4"/>
  <c r="F43" i="4"/>
  <c r="G43" i="4"/>
  <c r="H43" i="4"/>
  <c r="F45" i="4"/>
  <c r="G45" i="4"/>
  <c r="H45" i="4"/>
  <c r="F50" i="4"/>
  <c r="G50" i="4"/>
  <c r="H50" i="4"/>
  <c r="F51" i="4"/>
  <c r="G51" i="4"/>
  <c r="H51" i="4"/>
  <c r="F52" i="4"/>
  <c r="G52" i="4"/>
  <c r="H52" i="4"/>
  <c r="F54" i="4"/>
  <c r="G54" i="4"/>
  <c r="H54" i="4"/>
  <c r="F57" i="4"/>
  <c r="G57" i="4"/>
  <c r="H57" i="4"/>
  <c r="F59" i="4"/>
  <c r="G59" i="4"/>
  <c r="H59" i="4"/>
  <c r="F60" i="4"/>
  <c r="G60" i="4"/>
  <c r="H60" i="4"/>
  <c r="F62" i="4"/>
  <c r="G62" i="4"/>
  <c r="H62" i="4"/>
  <c r="F63" i="4"/>
  <c r="G63" i="4"/>
  <c r="H63" i="4"/>
  <c r="F66" i="4"/>
  <c r="G66" i="4"/>
  <c r="H66" i="4"/>
  <c r="F70" i="4"/>
  <c r="G70" i="4"/>
  <c r="H70" i="4"/>
  <c r="F71" i="4"/>
  <c r="G71" i="4"/>
  <c r="H71" i="4"/>
  <c r="F74" i="4"/>
  <c r="G74" i="4"/>
  <c r="H74" i="4"/>
  <c r="F75" i="4"/>
  <c r="G75" i="4"/>
  <c r="H75" i="4"/>
  <c r="F86" i="4"/>
  <c r="G86" i="4"/>
  <c r="H86" i="4"/>
  <c r="F89" i="4"/>
  <c r="G89" i="4"/>
  <c r="H89" i="4"/>
  <c r="F90" i="4"/>
  <c r="G90" i="4"/>
  <c r="H90" i="4"/>
  <c r="F92" i="4"/>
  <c r="G92" i="4"/>
  <c r="H92" i="4"/>
  <c r="F93" i="4"/>
  <c r="G93" i="4"/>
  <c r="H93" i="4"/>
  <c r="F95" i="4"/>
  <c r="G95" i="4"/>
  <c r="H95" i="4"/>
  <c r="F96" i="4"/>
  <c r="G96" i="4"/>
  <c r="H96" i="4"/>
  <c r="F97" i="4"/>
  <c r="G97" i="4"/>
  <c r="H97" i="4"/>
  <c r="F98" i="4"/>
  <c r="G98" i="4"/>
  <c r="H98" i="4"/>
  <c r="F99" i="4"/>
  <c r="G99" i="4"/>
  <c r="H99" i="4"/>
  <c r="F100" i="4"/>
  <c r="G100" i="4"/>
  <c r="H100" i="4"/>
  <c r="F102" i="4"/>
  <c r="G102" i="4"/>
  <c r="H102" i="4"/>
  <c r="F104" i="4"/>
  <c r="G104" i="4"/>
  <c r="H104" i="4"/>
  <c r="F105" i="4"/>
  <c r="G105" i="4"/>
  <c r="H105" i="4"/>
  <c r="F108" i="4"/>
  <c r="G108" i="4"/>
  <c r="H108" i="4"/>
  <c r="F111" i="4"/>
  <c r="G111" i="4"/>
  <c r="H111" i="4"/>
  <c r="F113" i="4"/>
  <c r="G113" i="4"/>
  <c r="H113" i="4"/>
  <c r="F115" i="4"/>
  <c r="G115" i="4"/>
  <c r="H115" i="4"/>
  <c r="F116" i="4"/>
  <c r="G116" i="4"/>
  <c r="H116" i="4"/>
  <c r="F117" i="4"/>
  <c r="G117" i="4"/>
  <c r="H117" i="4"/>
  <c r="F118" i="4"/>
  <c r="G118" i="4"/>
  <c r="H118" i="4"/>
  <c r="F120" i="4"/>
  <c r="G120" i="4"/>
  <c r="H120" i="4"/>
  <c r="F121" i="4"/>
  <c r="G121" i="4"/>
  <c r="H121" i="4"/>
  <c r="F122" i="4"/>
  <c r="G122" i="4"/>
  <c r="H122" i="4"/>
  <c r="F123" i="4"/>
  <c r="G123" i="4"/>
  <c r="H123" i="4"/>
  <c r="F125" i="4"/>
  <c r="G125" i="4"/>
  <c r="H125" i="4"/>
  <c r="F126" i="4"/>
  <c r="G126" i="4"/>
  <c r="H126" i="4"/>
  <c r="F127" i="4"/>
  <c r="G127" i="4"/>
  <c r="H127" i="4"/>
  <c r="F129" i="4"/>
  <c r="G129" i="4"/>
  <c r="H129" i="4"/>
  <c r="F132" i="4"/>
  <c r="G132" i="4"/>
  <c r="H132" i="4"/>
  <c r="F133" i="4"/>
  <c r="G133" i="4"/>
  <c r="H133" i="4"/>
  <c r="F135" i="4"/>
  <c r="G135" i="4"/>
  <c r="H135" i="4"/>
  <c r="F136" i="4"/>
  <c r="G136" i="4"/>
  <c r="H136" i="4"/>
  <c r="F139" i="4"/>
  <c r="G139" i="4"/>
  <c r="H139" i="4"/>
  <c r="F2" i="4"/>
  <c r="G2" i="4"/>
  <c r="H2" i="4"/>
  <c r="F3" i="4"/>
  <c r="G3" i="4"/>
  <c r="H3" i="4"/>
  <c r="F4" i="4"/>
  <c r="G4" i="4"/>
  <c r="H4" i="4"/>
  <c r="F5" i="4"/>
  <c r="G5" i="4"/>
  <c r="H5" i="4"/>
  <c r="F6" i="4"/>
  <c r="G6" i="4"/>
  <c r="H6" i="4"/>
  <c r="F7" i="4"/>
  <c r="G7" i="4"/>
  <c r="H7" i="4"/>
  <c r="F8" i="4"/>
  <c r="G8" i="4"/>
  <c r="H8" i="4"/>
  <c r="F9" i="4"/>
  <c r="G9" i="4"/>
  <c r="H9" i="4"/>
  <c r="F10" i="4"/>
  <c r="G10" i="4"/>
  <c r="H10" i="4"/>
  <c r="F11" i="4"/>
  <c r="G11" i="4"/>
  <c r="H11" i="4"/>
  <c r="F12" i="4"/>
  <c r="G12" i="4"/>
  <c r="H12" i="4"/>
  <c r="F13" i="4"/>
  <c r="G13" i="4"/>
  <c r="H13" i="4"/>
  <c r="F14" i="4"/>
  <c r="G14" i="4"/>
  <c r="H14" i="4"/>
  <c r="F15" i="4"/>
  <c r="G15" i="4"/>
  <c r="H15" i="4"/>
  <c r="F16" i="4"/>
  <c r="G16" i="4"/>
  <c r="H16" i="4"/>
  <c r="F17" i="4"/>
  <c r="G17" i="4"/>
  <c r="H17" i="4"/>
  <c r="F18" i="4"/>
  <c r="G18" i="4"/>
  <c r="H18" i="4"/>
  <c r="F19" i="4"/>
  <c r="G19" i="4"/>
  <c r="H19" i="4"/>
  <c r="F21" i="4"/>
  <c r="G21" i="4"/>
  <c r="H21" i="4"/>
  <c r="F22" i="4"/>
  <c r="G22" i="4"/>
  <c r="H22" i="4"/>
  <c r="F23" i="4"/>
  <c r="G23" i="4"/>
  <c r="H23" i="4"/>
  <c r="F24" i="4"/>
  <c r="G24" i="4"/>
  <c r="H24" i="4"/>
  <c r="F27" i="4"/>
  <c r="G27" i="4"/>
  <c r="H27" i="4"/>
  <c r="F28" i="4"/>
  <c r="G28" i="4"/>
  <c r="H28" i="4"/>
  <c r="F29" i="4"/>
  <c r="G29" i="4"/>
  <c r="H29" i="4"/>
  <c r="F30" i="4"/>
  <c r="G30" i="4"/>
  <c r="H30" i="4"/>
  <c r="F31" i="4"/>
  <c r="G31" i="4"/>
  <c r="H31" i="4"/>
  <c r="F32" i="4"/>
  <c r="G32" i="4"/>
  <c r="H32" i="4"/>
  <c r="F33" i="4"/>
  <c r="G33" i="4"/>
  <c r="H33" i="4"/>
  <c r="F34" i="4"/>
  <c r="G34" i="4"/>
  <c r="H34" i="4"/>
  <c r="F35" i="4"/>
  <c r="G35" i="4"/>
  <c r="H35" i="4"/>
  <c r="F38" i="4"/>
  <c r="G38" i="4"/>
  <c r="H38" i="4"/>
  <c r="F39" i="4"/>
  <c r="G39" i="4"/>
  <c r="H39" i="4"/>
  <c r="F41" i="4"/>
  <c r="G41" i="4"/>
  <c r="H41" i="4"/>
  <c r="F44" i="4"/>
  <c r="G44" i="4"/>
  <c r="H44" i="4"/>
  <c r="F46" i="4"/>
  <c r="G46" i="4"/>
  <c r="H46" i="4"/>
  <c r="F47" i="4"/>
  <c r="G47" i="4"/>
  <c r="H47" i="4"/>
  <c r="F48" i="4"/>
  <c r="G48" i="4"/>
  <c r="H48" i="4"/>
  <c r="F49" i="4"/>
  <c r="G49" i="4"/>
  <c r="H49" i="4"/>
  <c r="F53" i="4"/>
  <c r="G53" i="4"/>
  <c r="H53" i="4"/>
  <c r="F55" i="4"/>
  <c r="G55" i="4"/>
  <c r="H55" i="4"/>
  <c r="F56" i="4"/>
  <c r="G56" i="4"/>
  <c r="H56" i="4"/>
  <c r="F58" i="4"/>
  <c r="G58" i="4"/>
  <c r="H58" i="4"/>
  <c r="F61" i="4"/>
  <c r="G61" i="4"/>
  <c r="H61" i="4"/>
  <c r="F64" i="4"/>
  <c r="G64" i="4"/>
  <c r="H64" i="4"/>
  <c r="F65" i="4"/>
  <c r="G65" i="4"/>
  <c r="H65" i="4"/>
  <c r="F67" i="4"/>
  <c r="G67" i="4"/>
  <c r="H67" i="4"/>
  <c r="F68" i="4"/>
  <c r="G68" i="4"/>
  <c r="H68" i="4"/>
  <c r="F69" i="4"/>
  <c r="G69" i="4"/>
  <c r="H69" i="4"/>
  <c r="F72" i="4"/>
  <c r="G72" i="4"/>
  <c r="H72" i="4"/>
  <c r="F73" i="4"/>
  <c r="G73" i="4"/>
  <c r="H73" i="4"/>
  <c r="F76" i="4"/>
  <c r="G76" i="4"/>
  <c r="H76" i="4"/>
  <c r="F77" i="4"/>
  <c r="G77" i="4"/>
  <c r="H77" i="4"/>
  <c r="F78" i="4"/>
  <c r="G78" i="4"/>
  <c r="H78" i="4"/>
  <c r="F79" i="4"/>
  <c r="G79" i="4"/>
  <c r="H79" i="4"/>
  <c r="F80" i="4"/>
  <c r="G80" i="4"/>
  <c r="H80" i="4"/>
  <c r="F81" i="4"/>
  <c r="G81" i="4"/>
  <c r="H81" i="4"/>
  <c r="F82" i="4"/>
  <c r="G82" i="4"/>
  <c r="H82" i="4"/>
  <c r="F83" i="4"/>
  <c r="G83" i="4"/>
  <c r="H83" i="4"/>
  <c r="F84" i="4"/>
  <c r="G84" i="4"/>
  <c r="H84" i="4"/>
  <c r="F85" i="4"/>
  <c r="G85" i="4"/>
  <c r="H85" i="4"/>
  <c r="F87" i="4"/>
  <c r="G87" i="4"/>
  <c r="H87" i="4"/>
  <c r="F88" i="4"/>
  <c r="G88" i="4"/>
  <c r="H88" i="4"/>
  <c r="F91" i="4"/>
  <c r="G91" i="4"/>
  <c r="H91" i="4"/>
  <c r="F94" i="4"/>
  <c r="G94" i="4"/>
  <c r="H94" i="4"/>
  <c r="F101" i="4"/>
  <c r="G101" i="4"/>
  <c r="H101" i="4"/>
  <c r="F103" i="4"/>
  <c r="G103" i="4"/>
  <c r="H103" i="4"/>
  <c r="F106" i="4"/>
  <c r="G106" i="4"/>
  <c r="H106" i="4"/>
  <c r="F107" i="4"/>
  <c r="G107" i="4"/>
  <c r="H107" i="4"/>
  <c r="F109" i="4"/>
  <c r="G109" i="4"/>
  <c r="H109" i="4"/>
  <c r="F110" i="4"/>
  <c r="G110" i="4"/>
  <c r="H110" i="4"/>
  <c r="F112" i="4"/>
  <c r="G112" i="4"/>
  <c r="H112" i="4"/>
  <c r="F114" i="4"/>
  <c r="G114" i="4"/>
  <c r="H114" i="4"/>
  <c r="F119" i="4"/>
  <c r="G119" i="4"/>
  <c r="H119" i="4"/>
  <c r="F124" i="4"/>
  <c r="G124" i="4"/>
  <c r="H124" i="4"/>
  <c r="F128" i="4"/>
  <c r="G128" i="4"/>
  <c r="H128" i="4"/>
  <c r="F130" i="4"/>
  <c r="G130" i="4"/>
  <c r="H130" i="4"/>
  <c r="F131" i="4"/>
  <c r="G131" i="4"/>
  <c r="H131" i="4"/>
  <c r="F134" i="4"/>
  <c r="G134" i="4"/>
  <c r="H134" i="4"/>
  <c r="F137" i="4"/>
  <c r="G137" i="4"/>
  <c r="H137" i="4"/>
  <c r="F138" i="4"/>
  <c r="G138" i="4"/>
  <c r="H138" i="4"/>
  <c r="Q34" i="3"/>
  <c r="Q33" i="3"/>
  <c r="Q29" i="3"/>
  <c r="Q28" i="3"/>
  <c r="Q27" i="3"/>
  <c r="Q24" i="3"/>
  <c r="Q23" i="3"/>
  <c r="Q22" i="3"/>
  <c r="Q19" i="3"/>
  <c r="Q18" i="3"/>
  <c r="Q17" i="3"/>
  <c r="Q13" i="3"/>
  <c r="Q12" i="3"/>
  <c r="Q11" i="3"/>
  <c r="Q8" i="3"/>
  <c r="Q7" i="3"/>
</calcChain>
</file>

<file path=xl/sharedStrings.xml><?xml version="1.0" encoding="utf-8"?>
<sst xmlns="http://schemas.openxmlformats.org/spreadsheetml/2006/main" count="3375" uniqueCount="363">
  <si>
    <t>U1001</t>
  </si>
  <si>
    <t>American</t>
  </si>
  <si>
    <t>U1002</t>
  </si>
  <si>
    <t>Mexican</t>
  </si>
  <si>
    <t>U1003</t>
  </si>
  <si>
    <t>U1004</t>
  </si>
  <si>
    <t>Bakery</t>
  </si>
  <si>
    <t>Breakfast</t>
  </si>
  <si>
    <t>Japanese</t>
  </si>
  <si>
    <t>Contemporary</t>
  </si>
  <si>
    <t>Coffee Shop</t>
  </si>
  <si>
    <t>Cafeteria</t>
  </si>
  <si>
    <t>U1005</t>
  </si>
  <si>
    <t>U1006</t>
  </si>
  <si>
    <t>U1007</t>
  </si>
  <si>
    <t>Family</t>
  </si>
  <si>
    <t>U1008</t>
  </si>
  <si>
    <t>Latin American</t>
  </si>
  <si>
    <t>Italian</t>
  </si>
  <si>
    <t>U1009</t>
  </si>
  <si>
    <t>Diner</t>
  </si>
  <si>
    <t>Fast Food</t>
  </si>
  <si>
    <t>U1010</t>
  </si>
  <si>
    <t>U1011</t>
  </si>
  <si>
    <t>U1012</t>
  </si>
  <si>
    <t>U1013</t>
  </si>
  <si>
    <t>U1014</t>
  </si>
  <si>
    <t>U1015</t>
  </si>
  <si>
    <t>U1016</t>
  </si>
  <si>
    <t>Regional</t>
  </si>
  <si>
    <t>Barbecue</t>
  </si>
  <si>
    <t>U1017</t>
  </si>
  <si>
    <t>Chinese</t>
  </si>
  <si>
    <t>U1018</t>
  </si>
  <si>
    <t>U1019</t>
  </si>
  <si>
    <t>U1020</t>
  </si>
  <si>
    <t>U1021</t>
  </si>
  <si>
    <t>Pizzeria</t>
  </si>
  <si>
    <t>Burgers</t>
  </si>
  <si>
    <t>U1022</t>
  </si>
  <si>
    <t>U1023</t>
  </si>
  <si>
    <t>U1024</t>
  </si>
  <si>
    <t>Afghan</t>
  </si>
  <si>
    <t>U1025</t>
  </si>
  <si>
    <t>U1026</t>
  </si>
  <si>
    <t>U1027</t>
  </si>
  <si>
    <t>U1028</t>
  </si>
  <si>
    <t>U1029</t>
  </si>
  <si>
    <t>U1030</t>
  </si>
  <si>
    <t>U1031</t>
  </si>
  <si>
    <t>U1032</t>
  </si>
  <si>
    <t>U1033</t>
  </si>
  <si>
    <t>U1034</t>
  </si>
  <si>
    <t>U1035</t>
  </si>
  <si>
    <t>U1036</t>
  </si>
  <si>
    <t>U1037</t>
  </si>
  <si>
    <t>U1038</t>
  </si>
  <si>
    <t>U1039</t>
  </si>
  <si>
    <t>U1040</t>
  </si>
  <si>
    <t>U1041</t>
  </si>
  <si>
    <t>U1042</t>
  </si>
  <si>
    <t>U1043</t>
  </si>
  <si>
    <t>U1044</t>
  </si>
  <si>
    <t>U1045</t>
  </si>
  <si>
    <t>Middle Eastern</t>
  </si>
  <si>
    <t>U1046</t>
  </si>
  <si>
    <t>Bar</t>
  </si>
  <si>
    <t>U1047</t>
  </si>
  <si>
    <t>U1048</t>
  </si>
  <si>
    <t>U1049</t>
  </si>
  <si>
    <t>U1050</t>
  </si>
  <si>
    <t>U1051</t>
  </si>
  <si>
    <t>U1052</t>
  </si>
  <si>
    <t>U1053</t>
  </si>
  <si>
    <t>U1054</t>
  </si>
  <si>
    <t>U1055</t>
  </si>
  <si>
    <t>U1056</t>
  </si>
  <si>
    <t>U1057</t>
  </si>
  <si>
    <t>U1058</t>
  </si>
  <si>
    <t>Cuban</t>
  </si>
  <si>
    <t>U1059</t>
  </si>
  <si>
    <t>U1060</t>
  </si>
  <si>
    <t>Tex Mex</t>
  </si>
  <si>
    <t>U1061</t>
  </si>
  <si>
    <t>U1062</t>
  </si>
  <si>
    <t>U1063</t>
  </si>
  <si>
    <t>U1064</t>
  </si>
  <si>
    <t>U1065</t>
  </si>
  <si>
    <t>U1066</t>
  </si>
  <si>
    <t>U1067</t>
  </si>
  <si>
    <t>U1068</t>
  </si>
  <si>
    <t>U1069</t>
  </si>
  <si>
    <t>U1070</t>
  </si>
  <si>
    <t>U1071</t>
  </si>
  <si>
    <t>U1072</t>
  </si>
  <si>
    <t>U1073</t>
  </si>
  <si>
    <t>U1074</t>
  </si>
  <si>
    <t>Sushi</t>
  </si>
  <si>
    <t>U1075</t>
  </si>
  <si>
    <t>U1076</t>
  </si>
  <si>
    <t>U1077</t>
  </si>
  <si>
    <t>U1078</t>
  </si>
  <si>
    <t>U1079</t>
  </si>
  <si>
    <t>U1080</t>
  </si>
  <si>
    <t>U1081</t>
  </si>
  <si>
    <t>U1082</t>
  </si>
  <si>
    <t>U1083</t>
  </si>
  <si>
    <t>U1084</t>
  </si>
  <si>
    <t>U1085</t>
  </si>
  <si>
    <t>U1086</t>
  </si>
  <si>
    <t>U1087</t>
  </si>
  <si>
    <t>U1088</t>
  </si>
  <si>
    <t>U1089</t>
  </si>
  <si>
    <t>U1090</t>
  </si>
  <si>
    <t>U1091</t>
  </si>
  <si>
    <t>U1092</t>
  </si>
  <si>
    <t>Game</t>
  </si>
  <si>
    <t>U1093</t>
  </si>
  <si>
    <t>U1094</t>
  </si>
  <si>
    <t>U1095</t>
  </si>
  <si>
    <t>U1096</t>
  </si>
  <si>
    <t>U1097</t>
  </si>
  <si>
    <t>U1098</t>
  </si>
  <si>
    <t>U1099</t>
  </si>
  <si>
    <t>U1100</t>
  </si>
  <si>
    <t>U1101</t>
  </si>
  <si>
    <t>U1102</t>
  </si>
  <si>
    <t>U1103</t>
  </si>
  <si>
    <t>U1104</t>
  </si>
  <si>
    <t>U1105</t>
  </si>
  <si>
    <t>U1106</t>
  </si>
  <si>
    <t>U1107</t>
  </si>
  <si>
    <t>U1108</t>
  </si>
  <si>
    <t>Seafood</t>
  </si>
  <si>
    <t>U1109</t>
  </si>
  <si>
    <t>U1110</t>
  </si>
  <si>
    <t>U1111</t>
  </si>
  <si>
    <t>U1112</t>
  </si>
  <si>
    <t>U1113</t>
  </si>
  <si>
    <t>U1114</t>
  </si>
  <si>
    <t>U1115</t>
  </si>
  <si>
    <t>U1116</t>
  </si>
  <si>
    <t>U1117</t>
  </si>
  <si>
    <t>Turkish</t>
  </si>
  <si>
    <t>U1118</t>
  </si>
  <si>
    <t>U1119</t>
  </si>
  <si>
    <t>U1120</t>
  </si>
  <si>
    <t>U1121</t>
  </si>
  <si>
    <t>U1122</t>
  </si>
  <si>
    <t>U1123</t>
  </si>
  <si>
    <t>U1124</t>
  </si>
  <si>
    <t>U1125</t>
  </si>
  <si>
    <t>U1126</t>
  </si>
  <si>
    <t>U1127</t>
  </si>
  <si>
    <t>U1128</t>
  </si>
  <si>
    <t>U1129</t>
  </si>
  <si>
    <t>U1130</t>
  </si>
  <si>
    <t>U1131</t>
  </si>
  <si>
    <t>U1132</t>
  </si>
  <si>
    <t>U1133</t>
  </si>
  <si>
    <t>U1134</t>
  </si>
  <si>
    <t>U1135</t>
  </si>
  <si>
    <t>Organic</t>
  </si>
  <si>
    <t>Mediterranean</t>
  </si>
  <si>
    <t>International</t>
  </si>
  <si>
    <t>Armenian</t>
  </si>
  <si>
    <t>Brewery</t>
  </si>
  <si>
    <t>Vietnamese</t>
  </si>
  <si>
    <t>U1136</t>
  </si>
  <si>
    <t>U1137</t>
  </si>
  <si>
    <t>U1138</t>
  </si>
  <si>
    <t>Consumer ID</t>
  </si>
  <si>
    <t>Preferred Cuisine</t>
  </si>
  <si>
    <t>City</t>
  </si>
  <si>
    <t>State</t>
  </si>
  <si>
    <t>Country</t>
  </si>
  <si>
    <t>Latitude</t>
  </si>
  <si>
    <t>Longitude</t>
  </si>
  <si>
    <t>Smoker</t>
  </si>
  <si>
    <t>Drink Level</t>
  </si>
  <si>
    <t>Transportation Method</t>
  </si>
  <si>
    <t>Marital Status</t>
  </si>
  <si>
    <t>Children</t>
  </si>
  <si>
    <t>Age</t>
  </si>
  <si>
    <t>Occupation</t>
  </si>
  <si>
    <t>Budget</t>
  </si>
  <si>
    <t>San Luis Potosi</t>
  </si>
  <si>
    <t>Mexico</t>
  </si>
  <si>
    <t>No</t>
  </si>
  <si>
    <t>Abstemious</t>
  </si>
  <si>
    <t>On Foot</t>
  </si>
  <si>
    <t>Single</t>
  </si>
  <si>
    <t>Independent</t>
  </si>
  <si>
    <t>Student</t>
  </si>
  <si>
    <t>Medium</t>
  </si>
  <si>
    <t>Public</t>
  </si>
  <si>
    <t>Low</t>
  </si>
  <si>
    <t>Social Drinker</t>
  </si>
  <si>
    <t>Cuernavaca</t>
  </si>
  <si>
    <t>Morelos</t>
  </si>
  <si>
    <t>Employed</t>
  </si>
  <si>
    <t>Yes</t>
  </si>
  <si>
    <t>Car</t>
  </si>
  <si>
    <t>Casual Drinker</t>
  </si>
  <si>
    <t>Married</t>
  </si>
  <si>
    <t>Kids</t>
  </si>
  <si>
    <t>Ciudad Victoria</t>
  </si>
  <si>
    <t>Tamaulipas</t>
  </si>
  <si>
    <t>Dependent</t>
  </si>
  <si>
    <t>Unemployed</t>
  </si>
  <si>
    <t>High</t>
  </si>
  <si>
    <t>Jiutepec</t>
  </si>
  <si>
    <t>Service Rating</t>
  </si>
  <si>
    <t>Food Rating</t>
  </si>
  <si>
    <t>Overall Rating</t>
  </si>
  <si>
    <t>Restaurant ID</t>
  </si>
  <si>
    <t>Cuisine</t>
  </si>
  <si>
    <t>Name</t>
  </si>
  <si>
    <t>Alcohol Service</t>
  </si>
  <si>
    <t>Smoking Allowed</t>
  </si>
  <si>
    <t>Price</t>
  </si>
  <si>
    <t>Franchise</t>
  </si>
  <si>
    <t>Area</t>
  </si>
  <si>
    <t>Parking</t>
  </si>
  <si>
    <t>Puesto de Gorditas</t>
  </si>
  <si>
    <t>None</t>
  </si>
  <si>
    <t>Open</t>
  </si>
  <si>
    <t>Cafe Ambar</t>
  </si>
  <si>
    <t>Closed</t>
  </si>
  <si>
    <t>Church's</t>
  </si>
  <si>
    <t>Cafe Chaires</t>
  </si>
  <si>
    <t>McDonalds Centro</t>
  </si>
  <si>
    <t>Gorditas Doña Tota</t>
  </si>
  <si>
    <t>Tacos De Barbacoa Enfrente Del Tec</t>
  </si>
  <si>
    <t>Hamburguesas La Perica</t>
  </si>
  <si>
    <t>Pollo Frito Buenos Aires</t>
  </si>
  <si>
    <t>Carnitas Mata</t>
  </si>
  <si>
    <t>La Perica Hamburguesa</t>
  </si>
  <si>
    <t>Palomo Tec</t>
  </si>
  <si>
    <t>Carnitas Mata  Calle 16 de Septiembre</t>
  </si>
  <si>
    <t>Carnitas Mata Calle Emilio Portes Gil</t>
  </si>
  <si>
    <t>Tacos Abi</t>
  </si>
  <si>
    <t>Tacos Correcaminos</t>
  </si>
  <si>
    <t>Little Pizza Emilio Portes Gil</t>
  </si>
  <si>
    <t>Tacos El Guero</t>
  </si>
  <si>
    <t>Gorditas Dona Tota</t>
  </si>
  <si>
    <t>Tacos De La Estacion</t>
  </si>
  <si>
    <t>Tortas Hawaii</t>
  </si>
  <si>
    <t>Gordas De Morales</t>
  </si>
  <si>
    <t>Full Bar</t>
  </si>
  <si>
    <t>Smoking Section</t>
  </si>
  <si>
    <t xml:space="preserve">Taqueria El Amigo </t>
  </si>
  <si>
    <t>Little Caesars</t>
  </si>
  <si>
    <t>Carreton De Flautas Y Migadas</t>
  </si>
  <si>
    <t>Cabana Huasteca</t>
  </si>
  <si>
    <t>La Estrella De Dimas</t>
  </si>
  <si>
    <t>Mikasa</t>
  </si>
  <si>
    <t>Wine &amp; Beer</t>
  </si>
  <si>
    <t>Restaurant Familiar El Chino</t>
  </si>
  <si>
    <t>Mariscos Tia Licha</t>
  </si>
  <si>
    <t>El Cotorreo</t>
  </si>
  <si>
    <t>Puesto De Tacos</t>
  </si>
  <si>
    <t>Rincon Huasteco</t>
  </si>
  <si>
    <t>Gorditas Doa Gloria</t>
  </si>
  <si>
    <t>Cenaduria El Rincón De Tlaquepaque</t>
  </si>
  <si>
    <t xml:space="preserve">El Lechon Potosino </t>
  </si>
  <si>
    <t>Don Burguers</t>
  </si>
  <si>
    <t>KFC</t>
  </si>
  <si>
    <t>Sirlone</t>
  </si>
  <si>
    <t>Unicol's Pizza</t>
  </si>
  <si>
    <t>Hamburguesas Valle Dorado</t>
  </si>
  <si>
    <t>Carl's Jr</t>
  </si>
  <si>
    <t>La Posada Del Virrey</t>
  </si>
  <si>
    <t>Valet</t>
  </si>
  <si>
    <t>Chaires</t>
  </si>
  <si>
    <t>Dominos Pizza</t>
  </si>
  <si>
    <t>Tortas Y Hamburguesas El Gordo</t>
  </si>
  <si>
    <t>Pizzeria Julios</t>
  </si>
  <si>
    <t>Shi Ro Ie</t>
  </si>
  <si>
    <t>Sirloin Stockade</t>
  </si>
  <si>
    <t>Dairy Queen</t>
  </si>
  <si>
    <t>Hamburguesas Saul</t>
  </si>
  <si>
    <t>Crudalia</t>
  </si>
  <si>
    <t>Cafe Punta Del Cielo</t>
  </si>
  <si>
    <t>El Pueblito</t>
  </si>
  <si>
    <t xml:space="preserve">Rockabilly </t>
  </si>
  <si>
    <t>Vips</t>
  </si>
  <si>
    <t>La Parroquia</t>
  </si>
  <si>
    <t>Emilianos</t>
  </si>
  <si>
    <t>Tacos Los Volcanes</t>
  </si>
  <si>
    <t>Rincon Del Bife</t>
  </si>
  <si>
    <t>Log Yin</t>
  </si>
  <si>
    <t>Restaurant And Bar And Clothesline Carlos N Charlies</t>
  </si>
  <si>
    <t>Restaurant Las Mañanitas</t>
  </si>
  <si>
    <t>Chilis Cuernavaca</t>
  </si>
  <si>
    <t>Restaurant Teely</t>
  </si>
  <si>
    <t>Sanborns Casa Piedra</t>
  </si>
  <si>
    <t>Bar Only</t>
  </si>
  <si>
    <t>Kiku Cuernavaca</t>
  </si>
  <si>
    <t>Restaurant Los Pinos</t>
  </si>
  <si>
    <t>Los Vikingos</t>
  </si>
  <si>
    <t>Giovannis</t>
  </si>
  <si>
    <t>Arrachela Grill</t>
  </si>
  <si>
    <t>El Oceano Dorado</t>
  </si>
  <si>
    <t>Restaurant Bar Coty Y Pablo</t>
  </si>
  <si>
    <t>Subway</t>
  </si>
  <si>
    <t>El Rincon De San Francisco</t>
  </si>
  <si>
    <t>La Cantina</t>
  </si>
  <si>
    <t>Restaurant Orizatlan</t>
  </si>
  <si>
    <t>La Virreina</t>
  </si>
  <si>
    <t>Preambulo Wifi Zone Cafe</t>
  </si>
  <si>
    <t>Cafeteria Y Restaurant El Pacifico</t>
  </si>
  <si>
    <t>Restaurant El Muladar De Calzada</t>
  </si>
  <si>
    <t>Michiko Restaurant Japones</t>
  </si>
  <si>
    <t>El Mundo De La Pasta</t>
  </si>
  <si>
    <t>Restaurant La Chalita</t>
  </si>
  <si>
    <t>Restaurant De Mariscos De Picon</t>
  </si>
  <si>
    <t>Restaurant Los Compadres</t>
  </si>
  <si>
    <t>Luna Cafe</t>
  </si>
  <si>
    <t>Restaurant Oriental Express</t>
  </si>
  <si>
    <t>Pizza Clasica</t>
  </si>
  <si>
    <t>Restaurant Wu Zhuo Yi</t>
  </si>
  <si>
    <t>Restaurante La Gran Via</t>
  </si>
  <si>
    <t>Restaurante El Reyecito</t>
  </si>
  <si>
    <t>Restaurante Casa De Las Flores</t>
  </si>
  <si>
    <t>Restaurante Bar Fu-Hao</t>
  </si>
  <si>
    <t>Restaurante De Mariscos La Langosta</t>
  </si>
  <si>
    <t>Restaurante La Estrella De Dima</t>
  </si>
  <si>
    <t>Restaurante Versalles</t>
  </si>
  <si>
    <t>La Cantina Restaurante</t>
  </si>
  <si>
    <t>La Fontana Pizza Restaurante And Cafe</t>
  </si>
  <si>
    <t>Restaurante Y Pescaderia Tampico</t>
  </si>
  <si>
    <t>La Cochinita Pibil Restaurante Yucateco</t>
  </si>
  <si>
    <t>El Herradero Restaurante And Bar</t>
  </si>
  <si>
    <t>Restaurante Tiberius</t>
  </si>
  <si>
    <t>Restaurant Bar Hacienda Los Martinez</t>
  </si>
  <si>
    <t>Restaurante Marisco Sam</t>
  </si>
  <si>
    <t>Restaurante El Cielo Potosino</t>
  </si>
  <si>
    <t>Restaurante Alhondiga</t>
  </si>
  <si>
    <t>Restaurante El Chivero S.A. De C.V.</t>
  </si>
  <si>
    <t>El Angel Restaurante</t>
  </si>
  <si>
    <t>Restaurante Guerra</t>
  </si>
  <si>
    <t>Abondance Restaurante Bar</t>
  </si>
  <si>
    <t>Restaurante 75</t>
  </si>
  <si>
    <t>Restaurante La Cantina</t>
  </si>
  <si>
    <t>Sushi Itto</t>
  </si>
  <si>
    <t>Restaurante Bar El Gallinero</t>
  </si>
  <si>
    <t>Restaurante La Parroquia Potosina</t>
  </si>
  <si>
    <t>Mariscos El Pescador</t>
  </si>
  <si>
    <t>Restaurante Pueblo Bonito</t>
  </si>
  <si>
    <t>Koye Sushi</t>
  </si>
  <si>
    <t>Los Toneles</t>
  </si>
  <si>
    <t>El Club</t>
  </si>
  <si>
    <t>Tortas Locas Hipocampo</t>
  </si>
  <si>
    <t>McDonalds Parque Tangamanga</t>
  </si>
  <si>
    <t>Cafeteria Cenidet</t>
  </si>
  <si>
    <t>El Rincón De San Francisco</t>
  </si>
  <si>
    <t>Potzocalli</t>
  </si>
  <si>
    <t>Paniroles</t>
  </si>
  <si>
    <t xml:space="preserve">Marital status </t>
  </si>
  <si>
    <t>Overall Rating2</t>
  </si>
  <si>
    <t>Service Rating4</t>
  </si>
  <si>
    <t>Food Rating2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</si>
</sst>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xf>
    <xf numFmtId="49" fontId="16" fillId="0" borderId="0" xfId="0" applyNumberFormat="1" applyFont="1" applyAlignment="1">
      <alignment horizontal="center"/>
    </xf>
    <xf numFmtId="49" fontId="0" fillId="0" borderId="0" xfId="0" applyNumberFormat="1"/>
    <xf numFmtId="2" fontId="16" fillId="0" borderId="0" xfId="0" applyNumberFormat="1" applyFont="1" applyAlignment="1">
      <alignment horizontal="center"/>
    </xf>
    <xf numFmtId="2" fontId="0" fillId="0" borderId="0" xfId="0" applyNumberFormat="1"/>
    <xf numFmtId="1" fontId="0" fillId="0" borderId="0" xfId="0" applyNumberFormat="1"/>
    <xf numFmtId="1" fontId="16" fillId="0" borderId="0" xfId="0" applyNumberFormat="1" applyFont="1" applyAlignment="1">
      <alignment horizontal="center"/>
    </xf>
    <xf numFmtId="0" fontId="0" fillId="0" borderId="0" xfId="0" applyAlignment="1">
      <alignment horizontal="center"/>
    </xf>
    <xf numFmtId="49" fontId="0" fillId="0" borderId="0" xfId="0" applyNumberForma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6" fillId="33" borderId="10" xfId="0" applyFont="1" applyFill="1" applyBorder="1"/>
    <xf numFmtId="0" fontId="0" fillId="33" borderId="10" xfId="0" applyFill="1" applyBorder="1"/>
    <xf numFmtId="0" fontId="0" fillId="34" borderId="10" xfId="0" applyFill="1" applyBorder="1"/>
    <xf numFmtId="0" fontId="16" fillId="0" borderId="0" xfId="0" applyFont="1" applyAlignment="1">
      <alignment horizontal="left"/>
    </xf>
    <xf numFmtId="0" fontId="0" fillId="0" borderId="0" xfId="0" applyAlignment="1">
      <alignment horizontal="left"/>
    </xf>
    <xf numFmtId="49" fontId="16" fillId="0" borderId="0" xfId="0" applyNumberFormat="1" applyFont="1" applyAlignment="1">
      <alignment horizontal="left"/>
    </xf>
    <xf numFmtId="49" fontId="0" fillId="0" borderId="0" xfId="0" applyNumberFormat="1" applyAlignment="1">
      <alignment horizontal="left"/>
    </xf>
    <xf numFmtId="1" fontId="16" fillId="0" borderId="0" xfId="0" applyNumberFormat="1" applyFont="1" applyAlignment="1">
      <alignment horizontal="left"/>
    </xf>
    <xf numFmtId="1" fontId="0"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alignment horizontal="center"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2" formatCode="0.00"/>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30" formatCode="@"/>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14</xdr:col>
      <xdr:colOff>487680</xdr:colOff>
      <xdr:row>36</xdr:row>
      <xdr:rowOff>0</xdr:rowOff>
    </xdr:from>
    <xdr:to>
      <xdr:col>17</xdr:col>
      <xdr:colOff>388620</xdr:colOff>
      <xdr:row>39</xdr:row>
      <xdr:rowOff>144780</xdr:rowOff>
    </xdr:to>
    <xdr:sp macro="" textlink="">
      <xdr:nvSpPr>
        <xdr:cNvPr id="2" name="TextBox 1">
          <a:extLst>
            <a:ext uri="{FF2B5EF4-FFF2-40B4-BE49-F238E27FC236}">
              <a16:creationId xmlns:a16="http://schemas.microsoft.com/office/drawing/2014/main" id="{A7E5AD91-406D-6D62-4F9E-3B91BE49BB66}"/>
            </a:ext>
          </a:extLst>
        </xdr:cNvPr>
        <xdr:cNvSpPr txBox="1"/>
      </xdr:nvSpPr>
      <xdr:spPr>
        <a:xfrm>
          <a:off x="12176760" y="6583680"/>
          <a:ext cx="2758440" cy="6934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Created</a:t>
          </a:r>
          <a:r>
            <a:rPr lang="en-IN" sz="1100" b="1" i="1" baseline="0"/>
            <a:t> a table by clicking on a cell from the range and then ctrl+T. </a:t>
          </a:r>
        </a:p>
        <a:p>
          <a:r>
            <a:rPr lang="en-IN" sz="1100" b="1" i="1" baseline="0"/>
            <a:t>Made changes in the headers : Proper Spacing,bold and moved it to the centre.</a:t>
          </a:r>
        </a:p>
        <a:p>
          <a:endParaRPr lang="en-IN" sz="1100"/>
        </a:p>
      </xdr:txBody>
    </xdr:sp>
    <xdr:clientData/>
  </xdr:twoCellAnchor>
  <xdr:twoCellAnchor>
    <xdr:from>
      <xdr:col>14</xdr:col>
      <xdr:colOff>495300</xdr:colOff>
      <xdr:row>41</xdr:row>
      <xdr:rowOff>99060</xdr:rowOff>
    </xdr:from>
    <xdr:to>
      <xdr:col>17</xdr:col>
      <xdr:colOff>365760</xdr:colOff>
      <xdr:row>55</xdr:row>
      <xdr:rowOff>45720</xdr:rowOff>
    </xdr:to>
    <xdr:sp macro="" textlink="">
      <xdr:nvSpPr>
        <xdr:cNvPr id="3" name="TextBox 2">
          <a:extLst>
            <a:ext uri="{FF2B5EF4-FFF2-40B4-BE49-F238E27FC236}">
              <a16:creationId xmlns:a16="http://schemas.microsoft.com/office/drawing/2014/main" id="{DEAAD45A-7002-314D-7FC2-A3EA4BFA9EF1}"/>
            </a:ext>
          </a:extLst>
        </xdr:cNvPr>
        <xdr:cNvSpPr txBox="1"/>
      </xdr:nvSpPr>
      <xdr:spPr>
        <a:xfrm>
          <a:off x="12184380" y="7597140"/>
          <a:ext cx="2727960" cy="25069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Missing values were found in the following columns: Marital Status,Children,Transportation</a:t>
          </a:r>
          <a:r>
            <a:rPr lang="en-IN" sz="1100" b="1" i="1" baseline="0"/>
            <a:t> Method,Occupation,Budget and Smoker.</a:t>
          </a:r>
        </a:p>
        <a:p>
          <a:endParaRPr lang="en-IN" sz="1100" b="1" i="1" baseline="0"/>
        </a:p>
        <a:p>
          <a:r>
            <a:rPr lang="en-IN" sz="1100" b="1" i="1" baseline="0"/>
            <a:t>First i found out the most highest number of value in each columns by using 'COUNT IF' function. Its shown in the table above.</a:t>
          </a:r>
        </a:p>
        <a:p>
          <a:r>
            <a:rPr lang="en-IN" sz="1100" b="1" i="1" baseline="0"/>
            <a:t>Then i replaced the missing values by using 'Find and Replace' from the editing section. I replaced the missing values/blank spaces by replacing it with the highest value from each column.</a:t>
          </a:r>
          <a:endParaRPr lang="en-IN" sz="1100" b="1" i="1"/>
        </a:p>
      </xdr:txBody>
    </xdr:sp>
    <xdr:clientData/>
  </xdr:twoCellAnchor>
  <xdr:twoCellAnchor>
    <xdr:from>
      <xdr:col>14</xdr:col>
      <xdr:colOff>510540</xdr:colOff>
      <xdr:row>56</xdr:row>
      <xdr:rowOff>121920</xdr:rowOff>
    </xdr:from>
    <xdr:to>
      <xdr:col>17</xdr:col>
      <xdr:colOff>365760</xdr:colOff>
      <xdr:row>59</xdr:row>
      <xdr:rowOff>83820</xdr:rowOff>
    </xdr:to>
    <xdr:sp macro="" textlink="">
      <xdr:nvSpPr>
        <xdr:cNvPr id="4" name="TextBox 3">
          <a:extLst>
            <a:ext uri="{FF2B5EF4-FFF2-40B4-BE49-F238E27FC236}">
              <a16:creationId xmlns:a16="http://schemas.microsoft.com/office/drawing/2014/main" id="{32C0FC94-764B-FAE9-4D82-5468E9171211}"/>
            </a:ext>
          </a:extLst>
        </xdr:cNvPr>
        <xdr:cNvSpPr txBox="1"/>
      </xdr:nvSpPr>
      <xdr:spPr>
        <a:xfrm>
          <a:off x="12199620" y="10363200"/>
          <a:ext cx="2712720" cy="5105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Checked for spelling inconsistencies as well as duplicate values. nothing</a:t>
          </a:r>
          <a:r>
            <a:rPr lang="en-IN" sz="1100" b="1" i="1" baseline="0"/>
            <a:t> were found.</a:t>
          </a:r>
          <a:endParaRPr lang="en-IN" sz="1100" b="1" i="1"/>
        </a:p>
      </xdr:txBody>
    </xdr:sp>
    <xdr:clientData/>
  </xdr:twoCellAnchor>
  <xdr:twoCellAnchor>
    <xdr:from>
      <xdr:col>14</xdr:col>
      <xdr:colOff>495300</xdr:colOff>
      <xdr:row>61</xdr:row>
      <xdr:rowOff>68580</xdr:rowOff>
    </xdr:from>
    <xdr:to>
      <xdr:col>17</xdr:col>
      <xdr:colOff>388620</xdr:colOff>
      <xdr:row>67</xdr:row>
      <xdr:rowOff>30480</xdr:rowOff>
    </xdr:to>
    <xdr:sp macro="" textlink="">
      <xdr:nvSpPr>
        <xdr:cNvPr id="5" name="TextBox 4">
          <a:extLst>
            <a:ext uri="{FF2B5EF4-FFF2-40B4-BE49-F238E27FC236}">
              <a16:creationId xmlns:a16="http://schemas.microsoft.com/office/drawing/2014/main" id="{0C28466C-621C-56C1-9E4F-E7010E2744A5}"/>
            </a:ext>
          </a:extLst>
        </xdr:cNvPr>
        <xdr:cNvSpPr txBox="1"/>
      </xdr:nvSpPr>
      <xdr:spPr>
        <a:xfrm>
          <a:off x="12184380" y="11224260"/>
          <a:ext cx="2750820" cy="10591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Checked the data type of each column. Changed the data type of Latitude</a:t>
          </a:r>
          <a:r>
            <a:rPr lang="en-IN" sz="1100" b="1" i="1" baseline="0"/>
            <a:t> and L</a:t>
          </a:r>
          <a:r>
            <a:rPr lang="en-IN" sz="1100" b="1" i="1"/>
            <a:t>ongitude into numbers</a:t>
          </a:r>
          <a:r>
            <a:rPr lang="en-IN" sz="1100" b="1" i="1" baseline="0"/>
            <a:t> from general.</a:t>
          </a:r>
        </a:p>
        <a:p>
          <a:endParaRPr lang="en-IN" sz="1100" b="1" i="1" baseline="0"/>
        </a:p>
        <a:p>
          <a:r>
            <a:rPr lang="en-IN" sz="1100" b="1" i="1" baseline="0"/>
            <a:t>No Outliers or unrealistic values were found.</a:t>
          </a:r>
        </a:p>
        <a:p>
          <a:endParaRPr lang="en-IN" sz="1100" baseline="0"/>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3</xdr:row>
      <xdr:rowOff>160020</xdr:rowOff>
    </xdr:from>
    <xdr:to>
      <xdr:col>10</xdr:col>
      <xdr:colOff>220980</xdr:colOff>
      <xdr:row>24</xdr:row>
      <xdr:rowOff>0</xdr:rowOff>
    </xdr:to>
    <xdr:sp macro="" textlink="">
      <xdr:nvSpPr>
        <xdr:cNvPr id="2" name="TextBox 1">
          <a:extLst>
            <a:ext uri="{FF2B5EF4-FFF2-40B4-BE49-F238E27FC236}">
              <a16:creationId xmlns:a16="http://schemas.microsoft.com/office/drawing/2014/main" id="{FA45847F-0229-7E19-714C-F8D21D8DE887}"/>
            </a:ext>
          </a:extLst>
        </xdr:cNvPr>
        <xdr:cNvSpPr txBox="1"/>
      </xdr:nvSpPr>
      <xdr:spPr>
        <a:xfrm>
          <a:off x="3581400" y="708660"/>
          <a:ext cx="3688080" cy="368046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Created a table </a:t>
          </a:r>
          <a:r>
            <a:rPr lang="en-IN" sz="1100" b="1" i="1" baseline="0">
              <a:solidFill>
                <a:schemeClr val="dk1"/>
              </a:solidFill>
              <a:effectLst/>
              <a:latin typeface="+mn-lt"/>
              <a:ea typeface="+mn-ea"/>
              <a:cs typeface="+mn-cs"/>
            </a:rPr>
            <a:t>by clicking on a cell from the range and then ctrl+T</a:t>
          </a:r>
          <a:r>
            <a:rPr lang="en-IN" sz="1100" b="1" i="1"/>
            <a:t>. </a:t>
          </a:r>
        </a:p>
        <a:p>
          <a:r>
            <a:rPr lang="en-IN" sz="1100" b="1" i="1"/>
            <a:t>Made changes in the headers : Proper Spacing,bold and moved it to the centre.</a:t>
          </a:r>
        </a:p>
        <a:p>
          <a:endParaRPr lang="en-IN" sz="1100" b="1" i="1"/>
        </a:p>
        <a:p>
          <a:endParaRPr lang="en-IN" sz="1100" b="1" i="1"/>
        </a:p>
        <a:p>
          <a:r>
            <a:rPr lang="en-IN" sz="1100" b="1" i="1"/>
            <a:t>No missing/blank</a:t>
          </a:r>
          <a:r>
            <a:rPr lang="en-IN" sz="1100" b="1" i="1" baseline="0"/>
            <a:t> values were found.</a:t>
          </a:r>
        </a:p>
        <a:p>
          <a:endParaRPr lang="en-IN" sz="1100" b="1" i="1" baseline="0"/>
        </a:p>
        <a:p>
          <a:endParaRPr lang="en-IN" sz="1100" b="1" i="1" baseline="0"/>
        </a:p>
        <a:p>
          <a:r>
            <a:rPr lang="en-IN" sz="1100" b="1" i="1" baseline="0"/>
            <a:t>Found duplicate values in the 'Consumer ID' column by using 'find duplicates' from data section after selecting the particular range.</a:t>
          </a:r>
        </a:p>
        <a:p>
          <a:r>
            <a:rPr lang="en-IN" sz="1100" b="1" i="1" baseline="0"/>
            <a:t>Removed duplicates from the Consumer ID column because it is considered as a primary key.</a:t>
          </a:r>
        </a:p>
        <a:p>
          <a:r>
            <a:rPr lang="en-IN" sz="1100" b="1" i="1" baseline="0"/>
            <a:t>192 duplicate values were removed.</a:t>
          </a:r>
        </a:p>
        <a:p>
          <a:endParaRPr lang="en-IN" sz="1100" b="1" i="1" baseline="0"/>
        </a:p>
        <a:p>
          <a:endParaRPr lang="en-IN" sz="1100" b="1" i="1" baseline="0"/>
        </a:p>
        <a:p>
          <a:r>
            <a:rPr lang="en-IN" sz="1100" b="1" i="1" baseline="0"/>
            <a:t>No Spelling incosistencies or unrealistic values were found.</a:t>
          </a:r>
        </a:p>
        <a:p>
          <a:endParaRPr lang="en-IN" sz="1100" b="1" i="1" baseline="0"/>
        </a:p>
        <a:p>
          <a:endParaRPr lang="en-IN" sz="1100" b="1" i="1" baseline="0"/>
        </a:p>
        <a:p>
          <a:r>
            <a:rPr lang="en-IN" sz="1100" b="1" i="1" baseline="0"/>
            <a:t>Changed the data type of Preffered cuisine column to text type.</a:t>
          </a:r>
          <a:endParaRPr lang="en-IN" sz="1100" b="1"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7620</xdr:colOff>
      <xdr:row>3</xdr:row>
      <xdr:rowOff>144780</xdr:rowOff>
    </xdr:from>
    <xdr:to>
      <xdr:col>16</xdr:col>
      <xdr:colOff>30480</xdr:colOff>
      <xdr:row>29</xdr:row>
      <xdr:rowOff>0</xdr:rowOff>
    </xdr:to>
    <xdr:sp macro="" textlink="">
      <xdr:nvSpPr>
        <xdr:cNvPr id="2" name="TextBox 1">
          <a:extLst>
            <a:ext uri="{FF2B5EF4-FFF2-40B4-BE49-F238E27FC236}">
              <a16:creationId xmlns:a16="http://schemas.microsoft.com/office/drawing/2014/main" id="{248D76B5-AEE6-0B9F-5593-6F6E7530FA74}"/>
            </a:ext>
          </a:extLst>
        </xdr:cNvPr>
        <xdr:cNvSpPr txBox="1"/>
      </xdr:nvSpPr>
      <xdr:spPr>
        <a:xfrm>
          <a:off x="9944100" y="693420"/>
          <a:ext cx="3070860" cy="46101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Created a table </a:t>
          </a:r>
          <a:r>
            <a:rPr lang="en-IN" sz="1100" b="1" i="1" baseline="0">
              <a:solidFill>
                <a:schemeClr val="dk1"/>
              </a:solidFill>
              <a:effectLst/>
              <a:latin typeface="+mn-lt"/>
              <a:ea typeface="+mn-ea"/>
              <a:cs typeface="+mn-cs"/>
            </a:rPr>
            <a:t>by clicking on a cell from the range and then ctrl+T</a:t>
          </a:r>
          <a:r>
            <a:rPr lang="en-IN" sz="1100" b="1" i="1"/>
            <a:t>. </a:t>
          </a:r>
        </a:p>
        <a:p>
          <a:r>
            <a:rPr lang="en-IN" sz="1100" b="1" i="1"/>
            <a:t>Made changes in the headers : Proper Spacing,bold and moved it to the centre.</a:t>
          </a:r>
        </a:p>
        <a:p>
          <a:endParaRPr lang="en-IN" sz="1100" b="1" i="1"/>
        </a:p>
        <a:p>
          <a:endParaRPr lang="en-IN" sz="1100" b="1" i="1"/>
        </a:p>
        <a:p>
          <a:r>
            <a:rPr lang="en-IN" sz="1100" b="1" i="1"/>
            <a:t>Removed Duplicate values</a:t>
          </a:r>
          <a:r>
            <a:rPr lang="en-IN" sz="1100" b="1" i="1" baseline="0"/>
            <a:t> from Consumer ID column since it is a primary key.</a:t>
          </a:r>
        </a:p>
        <a:p>
          <a:r>
            <a:rPr lang="en-IN" sz="1100" b="1" i="1" baseline="0"/>
            <a:t>1023 duplicates were removed.</a:t>
          </a:r>
        </a:p>
        <a:p>
          <a:endParaRPr lang="en-IN" sz="1100" b="1" i="1" baseline="0"/>
        </a:p>
        <a:p>
          <a:endParaRPr lang="en-IN" sz="1100" b="1" i="1"/>
        </a:p>
        <a:p>
          <a:r>
            <a:rPr lang="en-IN" sz="1100" b="1" i="1"/>
            <a:t>Checked for Missing values, Spelling inconsistencies,</a:t>
          </a:r>
          <a:r>
            <a:rPr lang="en-IN" sz="1100" b="1" i="1" baseline="0"/>
            <a:t> Unrealistic values etc. Nothing were found.</a:t>
          </a:r>
        </a:p>
        <a:p>
          <a:endParaRPr lang="en-IN" sz="1100" b="1" i="1" baseline="0"/>
        </a:p>
        <a:p>
          <a:endParaRPr lang="en-IN" sz="1100" b="1" i="1" baseline="0"/>
        </a:p>
        <a:p>
          <a:r>
            <a:rPr lang="en-IN" sz="1100" b="1" i="1" baseline="0"/>
            <a:t>Changed the data type of all rating columns to number type.</a:t>
          </a:r>
        </a:p>
        <a:p>
          <a:endParaRPr lang="en-IN" sz="1100" b="1" i="1" baseline="0"/>
        </a:p>
        <a:p>
          <a:endParaRPr lang="en-IN" sz="1100" b="1" i="1" baseline="0"/>
        </a:p>
        <a:p>
          <a:r>
            <a:rPr lang="en-IN" sz="1100" b="1" i="1" baseline="0"/>
            <a:t>Sorted the Consumer ID column in ascending order by using Sort and filter from editing section.</a:t>
          </a:r>
        </a:p>
        <a:p>
          <a:endParaRPr lang="en-IN" sz="1100" b="1" i="1" baseline="0"/>
        </a:p>
        <a:p>
          <a:endParaRPr lang="en-IN" sz="1100" b="1" i="1" baseline="0"/>
        </a:p>
        <a:p>
          <a:r>
            <a:rPr lang="en-IN" sz="1100" b="1" i="1" baseline="0"/>
            <a:t>Created 3 new columns categorising the ratings as excellent, good and poor by using 'NESTED IF' function.</a:t>
          </a:r>
          <a:endParaRPr lang="en-IN" sz="1100" b="1" i="1"/>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175260</xdr:colOff>
      <xdr:row>5</xdr:row>
      <xdr:rowOff>99060</xdr:rowOff>
    </xdr:from>
    <xdr:to>
      <xdr:col>7</xdr:col>
      <xdr:colOff>533400</xdr:colOff>
      <xdr:row>24</xdr:row>
      <xdr:rowOff>60960</xdr:rowOff>
    </xdr:to>
    <xdr:sp macro="" textlink="">
      <xdr:nvSpPr>
        <xdr:cNvPr id="2" name="TextBox 1">
          <a:extLst>
            <a:ext uri="{FF2B5EF4-FFF2-40B4-BE49-F238E27FC236}">
              <a16:creationId xmlns:a16="http://schemas.microsoft.com/office/drawing/2014/main" id="{13EA02ED-5FA2-AF7F-245E-92D00D460434}"/>
            </a:ext>
          </a:extLst>
        </xdr:cNvPr>
        <xdr:cNvSpPr txBox="1"/>
      </xdr:nvSpPr>
      <xdr:spPr>
        <a:xfrm>
          <a:off x="2682240" y="1013460"/>
          <a:ext cx="2796540" cy="34366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Created a table </a:t>
          </a:r>
          <a:r>
            <a:rPr lang="en-IN" sz="1100" b="1" i="1" baseline="0">
              <a:solidFill>
                <a:schemeClr val="dk1"/>
              </a:solidFill>
              <a:effectLst/>
              <a:latin typeface="+mn-lt"/>
              <a:ea typeface="+mn-ea"/>
              <a:cs typeface="+mn-cs"/>
            </a:rPr>
            <a:t>by clicking on a cell from the range and then ctrl+T</a:t>
          </a:r>
          <a:r>
            <a:rPr lang="en-IN" sz="1100" b="1" i="1"/>
            <a:t>. </a:t>
          </a:r>
        </a:p>
        <a:p>
          <a:r>
            <a:rPr lang="en-IN" sz="1100" b="1" i="1"/>
            <a:t>Made changes in the headers : Proper Spacing,bold and moved it to the centre.</a:t>
          </a:r>
        </a:p>
        <a:p>
          <a:endParaRPr lang="en-IN" sz="1100" b="1" i="1"/>
        </a:p>
        <a:p>
          <a:endParaRPr lang="en-IN" sz="1100" b="1" i="1"/>
        </a:p>
        <a:p>
          <a:r>
            <a:rPr lang="en-IN" sz="1100" b="1" i="1"/>
            <a:t>Checked for Missing values, Spelling inconsistencies, Unrealistic values.</a:t>
          </a:r>
        </a:p>
        <a:p>
          <a:r>
            <a:rPr lang="en-IN" sz="1100" b="1" i="1"/>
            <a:t>Nothing</a:t>
          </a:r>
          <a:r>
            <a:rPr lang="en-IN" sz="1100" b="1" i="1" baseline="0"/>
            <a:t> were found.</a:t>
          </a:r>
        </a:p>
        <a:p>
          <a:endParaRPr lang="en-IN" sz="1100" b="1" i="1" baseline="0"/>
        </a:p>
        <a:p>
          <a:endParaRPr lang="en-IN" sz="1100" b="1" i="1" baseline="0"/>
        </a:p>
        <a:p>
          <a:r>
            <a:rPr lang="en-IN" sz="1100" b="1" i="1" baseline="0"/>
            <a:t>I have not removed duplicate values from the Restaurant ID column because a single restaurant can offer multiple cuisines.Removing duplicates based only on Restaurant ID would result in the loss of valid cuisine records. No exact duplicate  combinations of Restaurant ID and Cuisine were found in the original data set.</a:t>
          </a:r>
        </a:p>
        <a:p>
          <a:endParaRPr lang="en-IN" sz="1100" b="1" i="1" baseline="0"/>
        </a:p>
        <a:p>
          <a:endParaRPr lang="en-IN" sz="1100"/>
        </a:p>
        <a:p>
          <a:endParaRPr lang="en-IN" sz="1100"/>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449580</xdr:colOff>
      <xdr:row>4</xdr:row>
      <xdr:rowOff>83820</xdr:rowOff>
    </xdr:from>
    <xdr:to>
      <xdr:col>18</xdr:col>
      <xdr:colOff>464820</xdr:colOff>
      <xdr:row>29</xdr:row>
      <xdr:rowOff>83820</xdr:rowOff>
    </xdr:to>
    <xdr:sp macro="" textlink="">
      <xdr:nvSpPr>
        <xdr:cNvPr id="2" name="TextBox 1">
          <a:extLst>
            <a:ext uri="{FF2B5EF4-FFF2-40B4-BE49-F238E27FC236}">
              <a16:creationId xmlns:a16="http://schemas.microsoft.com/office/drawing/2014/main" id="{19B16AA2-3454-08B5-9FE8-457F1415B942}"/>
            </a:ext>
          </a:extLst>
        </xdr:cNvPr>
        <xdr:cNvSpPr txBox="1"/>
      </xdr:nvSpPr>
      <xdr:spPr>
        <a:xfrm>
          <a:off x="12847320" y="815340"/>
          <a:ext cx="3063240" cy="4572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Created a table </a:t>
          </a:r>
          <a:r>
            <a:rPr lang="en-IN" sz="1100" b="1" i="1" baseline="0">
              <a:solidFill>
                <a:schemeClr val="dk1"/>
              </a:solidFill>
              <a:effectLst/>
              <a:latin typeface="+mn-lt"/>
              <a:ea typeface="+mn-ea"/>
              <a:cs typeface="+mn-cs"/>
            </a:rPr>
            <a:t>by clicking on a cell from the range and then ctrl+T</a:t>
          </a:r>
          <a:r>
            <a:rPr lang="en-IN" sz="1100" b="1" i="1"/>
            <a:t>. </a:t>
          </a:r>
        </a:p>
        <a:p>
          <a:r>
            <a:rPr lang="en-IN" sz="1100" b="1" i="1"/>
            <a:t>Made changes in the headers : Proper Spacing,bold and moved it to the centre.</a:t>
          </a:r>
        </a:p>
        <a:p>
          <a:endParaRPr lang="en-IN" sz="1100" b="1" i="1"/>
        </a:p>
        <a:p>
          <a:endParaRPr lang="en-IN" sz="1100" b="1" i="1"/>
        </a:p>
        <a:p>
          <a:r>
            <a:rPr lang="en-IN" sz="1100" b="1" i="1"/>
            <a:t>Removed 'Zip Code'</a:t>
          </a:r>
          <a:r>
            <a:rPr lang="en-IN" sz="1100" b="1" i="1" baseline="0"/>
            <a:t> column from the table because there were so many blank cells.</a:t>
          </a:r>
        </a:p>
        <a:p>
          <a:endParaRPr lang="en-IN" sz="1100" b="1" i="1" baseline="0"/>
        </a:p>
        <a:p>
          <a:endParaRPr lang="en-IN" sz="1100" b="1" i="1" baseline="0"/>
        </a:p>
        <a:p>
          <a:r>
            <a:rPr lang="en-IN" sz="1100" b="1" i="1" baseline="0"/>
            <a:t>There were no missing or blank cells found in any other columns.</a:t>
          </a:r>
        </a:p>
        <a:p>
          <a:endParaRPr lang="en-IN" sz="1100" b="1" i="1" baseline="0"/>
        </a:p>
        <a:p>
          <a:endParaRPr lang="en-IN" sz="1100" b="1" i="1" baseline="0"/>
        </a:p>
        <a:p>
          <a:r>
            <a:rPr lang="en-IN" sz="1100" b="1" i="1" baseline="0"/>
            <a:t>Found 3 duplicate values in 'Name' column and removed it using remove duplicates in data tools.</a:t>
          </a:r>
          <a:br>
            <a:rPr lang="en-IN" sz="1100" b="1" i="1" baseline="0"/>
          </a:br>
          <a:endParaRPr lang="en-IN" sz="1100" b="1" i="1" baseline="0"/>
        </a:p>
        <a:p>
          <a:endParaRPr lang="en-IN" sz="1100" b="1" i="1" baseline="0"/>
        </a:p>
        <a:p>
          <a:r>
            <a:rPr lang="en-IN" sz="1100" b="1" i="1" baseline="0"/>
            <a:t>Changed the Data type of Latitude and Longitude columns to 'Number' data type.</a:t>
          </a:r>
        </a:p>
        <a:p>
          <a:endParaRPr lang="en-IN" sz="1100" b="1" i="1" baseline="0"/>
        </a:p>
        <a:p>
          <a:r>
            <a:rPr lang="en-IN" sz="1100" b="1" i="1" baseline="0"/>
            <a:t>Changed the Data type of Name,City,State,Country,Alcohol service,Smoking allowed,Price, Area, Franchise and parking columns to 'Text' data type.</a:t>
          </a:r>
        </a:p>
        <a:p>
          <a:endParaRPr lang="en-IN" sz="1100" baseline="0"/>
        </a:p>
        <a:p>
          <a:r>
            <a:rPr lang="en-IN" sz="1100" baseline="0"/>
            <a:t> </a:t>
          </a:r>
        </a:p>
        <a:p>
          <a:endParaRPr lang="en-IN" sz="1100" baseline="0"/>
        </a:p>
        <a:p>
          <a:endParaRPr lang="en-IN" sz="1100" baseline="0"/>
        </a:p>
        <a:p>
          <a:endParaRPr lang="en-IN" sz="1100" baseline="0"/>
        </a:p>
        <a:p>
          <a:endParaRPr lang="en-IN" sz="1100" baseline="0"/>
        </a:p>
        <a:p>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3CDE6A-4EA0-48CA-9853-198FBC0C9AE8}" name="Consumers" displayName="Consumers" ref="A1:N139" totalsRowShown="0" headerRowDxfId="36" dataDxfId="35">
  <autoFilter ref="A1:N139" xr:uid="{DF3CDE6A-4EA0-48CA-9853-198FBC0C9AE8}"/>
  <tableColumns count="14">
    <tableColumn id="1" xr3:uid="{C3DA3958-0EC3-4F8C-8A60-138F1D85FE41}" name="Consumer ID" dataDxfId="11"/>
    <tableColumn id="2" xr3:uid="{4753204F-8C51-4B7B-B4C7-A354C8BF4796}" name="City" dataDxfId="10"/>
    <tableColumn id="3" xr3:uid="{9844EAA9-B93D-4AC7-9E0D-A9728C7BFC4F}" name="State" dataDxfId="8"/>
    <tableColumn id="4" xr3:uid="{8D85AB0C-0CFC-415C-9E5C-5D88BAD1D841}" name="Country" dataDxfId="9"/>
    <tableColumn id="5" xr3:uid="{72117714-4BEC-4962-9013-96496A060EB9}" name="Latitude" dataDxfId="42"/>
    <tableColumn id="6" xr3:uid="{E7612F76-89BB-45AC-9668-A81FC6B9636C}" name="Longitude" dataDxfId="41"/>
    <tableColumn id="7" xr3:uid="{145FE5CA-9BF8-4A11-BA0E-C9EC2B6841DD}" name="Smoker" dataDxfId="7"/>
    <tableColumn id="8" xr3:uid="{B559E973-94F0-4C65-91A7-D90B9E0CC08D}" name="Drink Level" dataDxfId="6"/>
    <tableColumn id="9" xr3:uid="{DCDCADE1-0BB2-4241-A2AB-E1FE6CA4D258}" name="Transportation Method" dataDxfId="4"/>
    <tableColumn id="10" xr3:uid="{32F7ED5E-E2A0-4FFF-BE5F-7883C5ED1B6E}" name="Marital Status" dataDxfId="5"/>
    <tableColumn id="11" xr3:uid="{80B0CBC4-6F98-4D9B-9130-DD5B0B4A540E}" name="Children" dataDxfId="40"/>
    <tableColumn id="12" xr3:uid="{31D9D896-7B09-48B9-95EA-AE38E14B308B}" name="Age" dataDxfId="39"/>
    <tableColumn id="13" xr3:uid="{E66595B1-C68E-446E-82E8-603D152B8D7B}" name="Occupation" dataDxfId="38"/>
    <tableColumn id="14" xr3:uid="{36DF1581-C617-4A68-95C3-98A17D2858D1}" name="Budget"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B7786-AABE-4D5E-BA00-8067A0F0F5A0}" name="Consumer_preferences" displayName="Consumer_preferences" ref="A1:B139" totalsRowShown="0" headerRowDxfId="44" dataDxfId="43">
  <autoFilter ref="A1:B139" xr:uid="{728B7786-AABE-4D5E-BA00-8067A0F0F5A0}"/>
  <tableColumns count="2">
    <tableColumn id="1" xr3:uid="{3546033E-99E4-4A8B-B670-51EC0840CEB9}" name="Consumer ID" dataDxfId="13"/>
    <tableColumn id="2" xr3:uid="{9DC40B35-49F1-43B7-919B-873EC5028DE8}" name="Preferred Cuisine" dataDxfId="12"/>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658111-DA27-40E2-BE05-1B6BDD9946A8}" name="Ratings" displayName="Ratings" ref="A1:H139" totalsRowShown="0" headerRowDxfId="34" dataDxfId="33">
  <autoFilter ref="A1:H139" xr:uid="{83658111-DA27-40E2-BE05-1B6BDD9946A8}"/>
  <tableColumns count="8">
    <tableColumn id="1" xr3:uid="{B53C8556-79C7-40B4-8427-C39697CAE6A0}" name="Consumer ID" dataDxfId="32"/>
    <tableColumn id="2" xr3:uid="{8747CE51-CD5D-43D8-9EE2-9282A6A9C3A2}" name="Restaurant ID" dataDxfId="31"/>
    <tableColumn id="3" xr3:uid="{28E6C8D4-C5EB-4AE9-9879-DEBA76D4876A}" name="Overall Rating" dataDxfId="30"/>
    <tableColumn id="4" xr3:uid="{49C4BF7D-5BD6-4AC5-B881-8B4D1D49A568}" name="Food Rating" dataDxfId="29"/>
    <tableColumn id="5" xr3:uid="{A61A29C6-A8DC-4800-BCD0-A853A8C5AC9A}" name="Service Rating" dataDxfId="17"/>
    <tableColumn id="6" xr3:uid="{BC5FF9FF-6869-49D0-A794-81A389E8EEF2}" name="Overall Rating2" dataDxfId="16">
      <calculatedColumnFormula>IF(C2&lt;=0,"Poor",IF(C2&lt;=1,"Good","Excellent"))</calculatedColumnFormula>
    </tableColumn>
    <tableColumn id="7" xr3:uid="{319AFA08-FAB9-4560-A116-8A16AF85E673}" name="Food Rating2" dataDxfId="15">
      <calculatedColumnFormula>IF(D2&lt;=0,"Poor",IF(D2&lt;=1,"Good","Excellent"))</calculatedColumnFormula>
    </tableColumn>
    <tableColumn id="8" xr3:uid="{1D8EFD17-A6FB-43B4-AAC5-6E4ABB6DA727}" name="Service Rating4" dataDxfId="14">
      <calculatedColumnFormula>IF(E2&lt;=0,"Poor",IF(E2&lt;=1,"Good","Excellent"))</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334157-5317-4DF3-8BE3-31A464F18E9A}" name="Restaurant_cuisines" displayName="Restaurant_cuisines" ref="A1:B113" totalsRowShown="0" headerRowDxfId="3" dataDxfId="2">
  <autoFilter ref="A1:B113" xr:uid="{24334157-5317-4DF3-8BE3-31A464F18E9A}"/>
  <tableColumns count="2">
    <tableColumn id="1" xr3:uid="{FA65A540-D969-4782-92B6-CD85B2D628D7}" name="Restaurant ID" dataDxfId="1"/>
    <tableColumn id="2" xr3:uid="{504463D5-3152-4BED-94AD-AE9ED9027389}" name="Cuisine" dataDxfId="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3F3FA3-516A-4BA7-B698-4E4906AF2694}" name="Restaurants" displayName="Restaurants" ref="A1:M128" totalsRowShown="0" headerRowDxfId="48" dataDxfId="45">
  <autoFilter ref="A1:M128" xr:uid="{453F3FA3-516A-4BA7-B698-4E4906AF2694}"/>
  <tableColumns count="13">
    <tableColumn id="1" xr3:uid="{81E816AA-BF77-4DED-8FEF-844E29F9A406}" name="Restaurant ID" dataDxfId="47"/>
    <tableColumn id="2" xr3:uid="{7647BC2F-902A-4823-B9FE-283B5E48E4DE}" name="Name" dataDxfId="28"/>
    <tableColumn id="3" xr3:uid="{2413951B-47E1-43C7-895B-D3E439C8E565}" name="City" dataDxfId="27"/>
    <tableColumn id="4" xr3:uid="{F9F5B228-ED29-4B2B-8CF0-82823ECEB563}" name="State" dataDxfId="25"/>
    <tableColumn id="5" xr3:uid="{95EB7188-208C-40E9-96E8-98A4340F20E6}" name="Country" dataDxfId="26"/>
    <tableColumn id="6" xr3:uid="{C7A144ED-7C6C-4002-B886-0EDD67980034}" name="Latitude" dataDxfId="46"/>
    <tableColumn id="7" xr3:uid="{F39519FA-1CB5-4951-927C-C17AFE950811}" name="Longitude" dataDxfId="20"/>
    <tableColumn id="8" xr3:uid="{88C6C468-5DEB-4BEF-95CE-3DE081AAFEDE}" name="Alcohol Service" dataDxfId="18"/>
    <tableColumn id="9" xr3:uid="{5A3BC06A-EAAD-48BD-BD4C-4836147EC117}" name="Smoking Allowed" dataDxfId="19"/>
    <tableColumn id="10" xr3:uid="{A941AAF2-B88A-4F7B-A001-CA48A0186674}" name="Price" dataDxfId="24"/>
    <tableColumn id="11" xr3:uid="{DD6B9EA4-623B-471C-87D0-FE08F437DD91}" name="Franchise" dataDxfId="23"/>
    <tableColumn id="12" xr3:uid="{F6AD5B00-C688-4864-BDB2-3CA46E9BA515}" name="Area" dataDxfId="22"/>
    <tableColumn id="13" xr3:uid="{44E34DB3-A931-4B08-8343-DDC92B8E630C}" name="Parking" dataDxfId="2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04A1-9A07-44FE-84C2-1216774D81BE}">
  <sheetPr>
    <tabColor theme="4" tint="0.59999389629810485"/>
  </sheetPr>
  <dimension ref="A1:Q139"/>
  <sheetViews>
    <sheetView workbookViewId="0">
      <selection activeCell="P1" sqref="P1"/>
    </sheetView>
  </sheetViews>
  <sheetFormatPr defaultRowHeight="14.4" x14ac:dyDescent="0.3"/>
  <cols>
    <col min="1" max="1" width="13.44140625" style="3" customWidth="1"/>
    <col min="2" max="2" width="13.77734375" style="18" customWidth="1"/>
    <col min="3" max="3" width="13.109375" style="18" customWidth="1"/>
    <col min="4" max="4" width="9.33203125" style="3" customWidth="1"/>
    <col min="5" max="5" width="9.77734375" style="5" customWidth="1"/>
    <col min="6" max="6" width="11" style="5" customWidth="1"/>
    <col min="7" max="7" width="9.33203125" style="3" customWidth="1"/>
    <col min="8" max="8" width="13.21875" style="18" customWidth="1"/>
    <col min="9" max="9" width="21.5546875" style="9" customWidth="1"/>
    <col min="10" max="10" width="14.44140625" style="3" customWidth="1"/>
    <col min="11" max="11" width="11.109375" style="3" customWidth="1"/>
    <col min="13" max="13" width="12.5546875" style="3" customWidth="1"/>
    <col min="14" max="14" width="8.88671875" style="3"/>
    <col min="15" max="15" width="6.21875" customWidth="1"/>
    <col min="16" max="16" width="20.88671875" customWidth="1"/>
    <col min="17" max="17" width="11.88671875" customWidth="1"/>
  </cols>
  <sheetData>
    <row r="1" spans="1:17" x14ac:dyDescent="0.3">
      <c r="A1" s="2" t="s">
        <v>171</v>
      </c>
      <c r="B1" s="17" t="s">
        <v>173</v>
      </c>
      <c r="C1" s="17" t="s">
        <v>174</v>
      </c>
      <c r="D1" s="2" t="s">
        <v>175</v>
      </c>
      <c r="E1" s="4" t="s">
        <v>176</v>
      </c>
      <c r="F1" s="4" t="s">
        <v>177</v>
      </c>
      <c r="G1" s="2" t="s">
        <v>178</v>
      </c>
      <c r="H1" s="17" t="s">
        <v>179</v>
      </c>
      <c r="I1" s="2" t="s">
        <v>180</v>
      </c>
      <c r="J1" s="2" t="s">
        <v>181</v>
      </c>
      <c r="K1" s="2" t="s">
        <v>182</v>
      </c>
      <c r="L1" s="1" t="s">
        <v>183</v>
      </c>
      <c r="M1" s="2" t="s">
        <v>184</v>
      </c>
      <c r="N1" s="2" t="s">
        <v>185</v>
      </c>
    </row>
    <row r="2" spans="1:17" x14ac:dyDescent="0.3">
      <c r="A2" s="9" t="s">
        <v>0</v>
      </c>
      <c r="B2" s="18" t="s">
        <v>186</v>
      </c>
      <c r="C2" s="18" t="s">
        <v>186</v>
      </c>
      <c r="D2" s="9" t="s">
        <v>187</v>
      </c>
      <c r="E2" s="10">
        <v>22.139997000000001</v>
      </c>
      <c r="F2" s="10">
        <v>-100.978803</v>
      </c>
      <c r="G2" s="9" t="s">
        <v>188</v>
      </c>
      <c r="H2" s="18" t="s">
        <v>189</v>
      </c>
      <c r="I2" s="9" t="s">
        <v>190</v>
      </c>
      <c r="J2" s="9" t="s">
        <v>191</v>
      </c>
      <c r="K2" s="9" t="s">
        <v>192</v>
      </c>
      <c r="L2" s="8">
        <v>23</v>
      </c>
      <c r="M2" s="9" t="s">
        <v>193</v>
      </c>
      <c r="N2" s="9" t="s">
        <v>194</v>
      </c>
    </row>
    <row r="3" spans="1:17" x14ac:dyDescent="0.3">
      <c r="A3" s="9" t="s">
        <v>2</v>
      </c>
      <c r="B3" s="18" t="s">
        <v>186</v>
      </c>
      <c r="C3" s="18" t="s">
        <v>186</v>
      </c>
      <c r="D3" s="9" t="s">
        <v>187</v>
      </c>
      <c r="E3" s="10">
        <v>22.150086999999999</v>
      </c>
      <c r="F3" s="10">
        <v>-100.98332499999999</v>
      </c>
      <c r="G3" s="9" t="s">
        <v>188</v>
      </c>
      <c r="H3" s="18" t="s">
        <v>189</v>
      </c>
      <c r="I3" s="9" t="s">
        <v>195</v>
      </c>
      <c r="J3" s="9" t="s">
        <v>191</v>
      </c>
      <c r="K3" s="9" t="s">
        <v>192</v>
      </c>
      <c r="L3" s="8">
        <v>22</v>
      </c>
      <c r="M3" s="9" t="s">
        <v>193</v>
      </c>
      <c r="N3" s="9" t="s">
        <v>196</v>
      </c>
    </row>
    <row r="4" spans="1:17" x14ac:dyDescent="0.3">
      <c r="A4" s="9" t="s">
        <v>4</v>
      </c>
      <c r="B4" s="18" t="s">
        <v>186</v>
      </c>
      <c r="C4" s="18" t="s">
        <v>186</v>
      </c>
      <c r="D4" s="9" t="s">
        <v>187</v>
      </c>
      <c r="E4" s="10">
        <v>22.119847</v>
      </c>
      <c r="F4" s="10">
        <v>-100.946527</v>
      </c>
      <c r="G4" s="9" t="s">
        <v>188</v>
      </c>
      <c r="H4" s="18" t="s">
        <v>197</v>
      </c>
      <c r="I4" s="9" t="s">
        <v>195</v>
      </c>
      <c r="J4" s="9" t="s">
        <v>191</v>
      </c>
      <c r="K4" s="9" t="s">
        <v>192</v>
      </c>
      <c r="L4" s="8">
        <v>23</v>
      </c>
      <c r="M4" s="9" t="s">
        <v>193</v>
      </c>
      <c r="N4" s="9" t="s">
        <v>196</v>
      </c>
    </row>
    <row r="5" spans="1:17" x14ac:dyDescent="0.3">
      <c r="A5" s="9" t="s">
        <v>5</v>
      </c>
      <c r="B5" s="18" t="s">
        <v>198</v>
      </c>
      <c r="C5" s="18" t="s">
        <v>199</v>
      </c>
      <c r="D5" s="9" t="s">
        <v>187</v>
      </c>
      <c r="E5" s="10">
        <v>18.867000000000001</v>
      </c>
      <c r="F5" s="10">
        <v>-99.183000000000007</v>
      </c>
      <c r="G5" s="9" t="s">
        <v>188</v>
      </c>
      <c r="H5" s="18" t="s">
        <v>189</v>
      </c>
      <c r="I5" s="9" t="s">
        <v>195</v>
      </c>
      <c r="J5" s="9" t="s">
        <v>191</v>
      </c>
      <c r="K5" s="9" t="s">
        <v>192</v>
      </c>
      <c r="L5" s="8">
        <v>72</v>
      </c>
      <c r="M5" s="9" t="s">
        <v>200</v>
      </c>
      <c r="N5" s="9" t="s">
        <v>194</v>
      </c>
    </row>
    <row r="6" spans="1:17" x14ac:dyDescent="0.3">
      <c r="A6" s="9" t="s">
        <v>12</v>
      </c>
      <c r="B6" s="18" t="s">
        <v>186</v>
      </c>
      <c r="C6" s="18" t="s">
        <v>186</v>
      </c>
      <c r="D6" s="9" t="s">
        <v>187</v>
      </c>
      <c r="E6" s="10">
        <v>22.183477</v>
      </c>
      <c r="F6" s="10">
        <v>-100.959891</v>
      </c>
      <c r="G6" s="9" t="s">
        <v>188</v>
      </c>
      <c r="H6" s="18" t="s">
        <v>189</v>
      </c>
      <c r="I6" s="9" t="s">
        <v>195</v>
      </c>
      <c r="J6" s="9" t="s">
        <v>191</v>
      </c>
      <c r="K6" s="9" t="s">
        <v>192</v>
      </c>
      <c r="L6" s="8">
        <v>20</v>
      </c>
      <c r="M6" s="9" t="s">
        <v>193</v>
      </c>
      <c r="N6" s="9" t="s">
        <v>194</v>
      </c>
      <c r="P6" s="12" t="s">
        <v>359</v>
      </c>
      <c r="Q6" s="13"/>
    </row>
    <row r="7" spans="1:17" x14ac:dyDescent="0.3">
      <c r="A7" s="9" t="s">
        <v>13</v>
      </c>
      <c r="B7" s="18" t="s">
        <v>186</v>
      </c>
      <c r="C7" s="18" t="s">
        <v>186</v>
      </c>
      <c r="D7" s="9" t="s">
        <v>187</v>
      </c>
      <c r="E7" s="10">
        <v>22.15</v>
      </c>
      <c r="F7" s="10">
        <v>-100.983</v>
      </c>
      <c r="G7" s="9" t="s">
        <v>201</v>
      </c>
      <c r="H7" s="18" t="s">
        <v>197</v>
      </c>
      <c r="I7" s="9" t="s">
        <v>202</v>
      </c>
      <c r="J7" s="9" t="s">
        <v>191</v>
      </c>
      <c r="K7" s="9" t="s">
        <v>192</v>
      </c>
      <c r="L7" s="8">
        <v>23</v>
      </c>
      <c r="M7" s="9" t="s">
        <v>193</v>
      </c>
      <c r="N7" s="9" t="s">
        <v>194</v>
      </c>
      <c r="P7" s="14" t="s">
        <v>191</v>
      </c>
      <c r="Q7" s="14">
        <f>COUNTIF(J2:J139,J2)</f>
        <v>128</v>
      </c>
    </row>
    <row r="8" spans="1:17" x14ac:dyDescent="0.3">
      <c r="A8" s="9" t="s">
        <v>14</v>
      </c>
      <c r="B8" s="18" t="s">
        <v>186</v>
      </c>
      <c r="C8" s="18" t="s">
        <v>186</v>
      </c>
      <c r="D8" s="9" t="s">
        <v>187</v>
      </c>
      <c r="E8" s="10">
        <v>22.118463999999999</v>
      </c>
      <c r="F8" s="10">
        <v>-100.938256</v>
      </c>
      <c r="G8" s="9" t="s">
        <v>188</v>
      </c>
      <c r="H8" s="18" t="s">
        <v>203</v>
      </c>
      <c r="I8" s="9" t="s">
        <v>195</v>
      </c>
      <c r="J8" s="9" t="s">
        <v>191</v>
      </c>
      <c r="K8" s="9" t="s">
        <v>192</v>
      </c>
      <c r="L8" s="8">
        <v>23</v>
      </c>
      <c r="M8" s="9" t="s">
        <v>193</v>
      </c>
      <c r="N8" s="9" t="s">
        <v>196</v>
      </c>
      <c r="P8" s="14" t="s">
        <v>204</v>
      </c>
      <c r="Q8" s="14">
        <f>COUNTIF(J2:J139,J11)</f>
        <v>10</v>
      </c>
    </row>
    <row r="9" spans="1:17" x14ac:dyDescent="0.3">
      <c r="A9" s="9" t="s">
        <v>16</v>
      </c>
      <c r="B9" s="18" t="s">
        <v>186</v>
      </c>
      <c r="C9" s="18" t="s">
        <v>186</v>
      </c>
      <c r="D9" s="9" t="s">
        <v>187</v>
      </c>
      <c r="E9" s="10">
        <v>22.122989</v>
      </c>
      <c r="F9" s="10">
        <v>-100.923811</v>
      </c>
      <c r="G9" s="9" t="s">
        <v>188</v>
      </c>
      <c r="H9" s="18" t="s">
        <v>197</v>
      </c>
      <c r="I9" s="9" t="s">
        <v>195</v>
      </c>
      <c r="J9" s="9" t="s">
        <v>191</v>
      </c>
      <c r="K9" s="9" t="s">
        <v>192</v>
      </c>
      <c r="L9" s="8">
        <v>23</v>
      </c>
      <c r="M9" s="9" t="s">
        <v>193</v>
      </c>
      <c r="N9" s="9" t="s">
        <v>196</v>
      </c>
    </row>
    <row r="10" spans="1:17" x14ac:dyDescent="0.3">
      <c r="A10" s="9" t="s">
        <v>19</v>
      </c>
      <c r="B10" s="18" t="s">
        <v>186</v>
      </c>
      <c r="C10" s="18" t="s">
        <v>186</v>
      </c>
      <c r="D10" s="9" t="s">
        <v>187</v>
      </c>
      <c r="E10" s="10">
        <v>22.159427000000001</v>
      </c>
      <c r="F10" s="10">
        <v>-100.990448</v>
      </c>
      <c r="G10" s="9" t="s">
        <v>188</v>
      </c>
      <c r="H10" s="18" t="s">
        <v>189</v>
      </c>
      <c r="I10" s="9" t="s">
        <v>190</v>
      </c>
      <c r="J10" s="9" t="s">
        <v>191</v>
      </c>
      <c r="K10" s="9" t="s">
        <v>205</v>
      </c>
      <c r="L10" s="8">
        <v>21</v>
      </c>
      <c r="M10" s="9" t="s">
        <v>193</v>
      </c>
      <c r="N10" s="9" t="s">
        <v>194</v>
      </c>
      <c r="P10" s="12" t="s">
        <v>182</v>
      </c>
      <c r="Q10" s="13"/>
    </row>
    <row r="11" spans="1:17" x14ac:dyDescent="0.3">
      <c r="A11" s="9" t="s">
        <v>22</v>
      </c>
      <c r="B11" s="18" t="s">
        <v>186</v>
      </c>
      <c r="C11" s="18" t="s">
        <v>186</v>
      </c>
      <c r="D11" s="9" t="s">
        <v>187</v>
      </c>
      <c r="E11" s="10">
        <v>22.190888999999999</v>
      </c>
      <c r="F11" s="10">
        <v>-100.99866900000001</v>
      </c>
      <c r="G11" s="9" t="s">
        <v>188</v>
      </c>
      <c r="H11" s="18" t="s">
        <v>197</v>
      </c>
      <c r="I11" s="9" t="s">
        <v>202</v>
      </c>
      <c r="J11" s="9" t="s">
        <v>204</v>
      </c>
      <c r="K11" s="9" t="s">
        <v>205</v>
      </c>
      <c r="L11" s="8">
        <v>25</v>
      </c>
      <c r="M11" s="9" t="s">
        <v>193</v>
      </c>
      <c r="N11" s="9" t="s">
        <v>194</v>
      </c>
      <c r="P11" s="14" t="s">
        <v>192</v>
      </c>
      <c r="Q11" s="14">
        <f>COUNTIF(K2:K139,K2)</f>
        <v>124</v>
      </c>
    </row>
    <row r="12" spans="1:17" x14ac:dyDescent="0.3">
      <c r="A12" s="9" t="s">
        <v>23</v>
      </c>
      <c r="B12" s="18" t="s">
        <v>206</v>
      </c>
      <c r="C12" s="18" t="s">
        <v>207</v>
      </c>
      <c r="D12" s="9" t="s">
        <v>187</v>
      </c>
      <c r="E12" s="10">
        <v>23.724972000000001</v>
      </c>
      <c r="F12" s="10">
        <v>-99.152856</v>
      </c>
      <c r="G12" s="9" t="s">
        <v>188</v>
      </c>
      <c r="H12" s="18" t="s">
        <v>189</v>
      </c>
      <c r="I12" s="9" t="s">
        <v>195</v>
      </c>
      <c r="J12" s="9" t="s">
        <v>191</v>
      </c>
      <c r="K12" s="9" t="s">
        <v>192</v>
      </c>
      <c r="L12" s="8">
        <v>23</v>
      </c>
      <c r="M12" s="9" t="s">
        <v>193</v>
      </c>
      <c r="N12" s="9" t="s">
        <v>194</v>
      </c>
      <c r="P12" s="14" t="s">
        <v>205</v>
      </c>
      <c r="Q12" s="14">
        <f>COUNTIF(K2:K139,K10)</f>
        <v>11</v>
      </c>
    </row>
    <row r="13" spans="1:17" x14ac:dyDescent="0.3">
      <c r="A13" s="9" t="s">
        <v>24</v>
      </c>
      <c r="B13" s="18" t="s">
        <v>198</v>
      </c>
      <c r="C13" s="18" t="s">
        <v>199</v>
      </c>
      <c r="D13" s="9" t="s">
        <v>187</v>
      </c>
      <c r="E13" s="10">
        <v>18.813348000000001</v>
      </c>
      <c r="F13" s="10">
        <v>-99.243696999999997</v>
      </c>
      <c r="G13" s="9" t="s">
        <v>188</v>
      </c>
      <c r="H13" s="18" t="s">
        <v>203</v>
      </c>
      <c r="I13" s="9" t="s">
        <v>195</v>
      </c>
      <c r="J13" s="9" t="s">
        <v>191</v>
      </c>
      <c r="K13" s="9" t="s">
        <v>192</v>
      </c>
      <c r="L13" s="8">
        <v>24</v>
      </c>
      <c r="M13" s="9" t="s">
        <v>193</v>
      </c>
      <c r="N13" s="9" t="s">
        <v>194</v>
      </c>
      <c r="P13" s="14" t="s">
        <v>208</v>
      </c>
      <c r="Q13" s="14">
        <f>COUNTIF(K1:K139,K22)</f>
        <v>3</v>
      </c>
    </row>
    <row r="14" spans="1:17" x14ac:dyDescent="0.3">
      <c r="A14" s="9" t="s">
        <v>25</v>
      </c>
      <c r="B14" s="18" t="s">
        <v>186</v>
      </c>
      <c r="C14" s="18" t="s">
        <v>186</v>
      </c>
      <c r="D14" s="9" t="s">
        <v>187</v>
      </c>
      <c r="E14" s="10">
        <v>22.174624000000001</v>
      </c>
      <c r="F14" s="10">
        <v>-100.99387299999999</v>
      </c>
      <c r="G14" s="9" t="s">
        <v>188</v>
      </c>
      <c r="H14" s="18" t="s">
        <v>189</v>
      </c>
      <c r="I14" s="9" t="s">
        <v>195</v>
      </c>
      <c r="J14" s="9" t="s">
        <v>191</v>
      </c>
      <c r="K14" s="9" t="s">
        <v>192</v>
      </c>
      <c r="L14" s="8">
        <v>30</v>
      </c>
      <c r="M14" s="9" t="s">
        <v>200</v>
      </c>
      <c r="N14" s="9" t="s">
        <v>194</v>
      </c>
    </row>
    <row r="15" spans="1:17" x14ac:dyDescent="0.3">
      <c r="A15" s="9" t="s">
        <v>26</v>
      </c>
      <c r="B15" s="18" t="s">
        <v>206</v>
      </c>
      <c r="C15" s="18" t="s">
        <v>207</v>
      </c>
      <c r="D15" s="9" t="s">
        <v>187</v>
      </c>
      <c r="E15" s="10">
        <v>23.751607</v>
      </c>
      <c r="F15" s="10">
        <v>-99.170107999999999</v>
      </c>
      <c r="G15" s="9" t="s">
        <v>188</v>
      </c>
      <c r="H15" s="18" t="s">
        <v>189</v>
      </c>
      <c r="I15" s="9" t="s">
        <v>195</v>
      </c>
      <c r="J15" s="9" t="s">
        <v>191</v>
      </c>
      <c r="K15" s="9" t="s">
        <v>192</v>
      </c>
      <c r="L15" s="8">
        <v>22</v>
      </c>
      <c r="M15" s="9" t="s">
        <v>193</v>
      </c>
      <c r="N15" s="9" t="s">
        <v>194</v>
      </c>
    </row>
    <row r="16" spans="1:17" x14ac:dyDescent="0.3">
      <c r="A16" s="9" t="s">
        <v>27</v>
      </c>
      <c r="B16" s="18" t="s">
        <v>186</v>
      </c>
      <c r="C16" s="18" t="s">
        <v>186</v>
      </c>
      <c r="D16" s="9" t="s">
        <v>187</v>
      </c>
      <c r="E16" s="10">
        <v>22.126760000000001</v>
      </c>
      <c r="F16" s="10">
        <v>-100.905209</v>
      </c>
      <c r="G16" s="9" t="s">
        <v>201</v>
      </c>
      <c r="H16" s="18" t="s">
        <v>197</v>
      </c>
      <c r="I16" s="9" t="s">
        <v>195</v>
      </c>
      <c r="J16" s="9" t="s">
        <v>191</v>
      </c>
      <c r="K16" s="9" t="s">
        <v>192</v>
      </c>
      <c r="L16" s="8">
        <v>23</v>
      </c>
      <c r="M16" s="9" t="s">
        <v>193</v>
      </c>
      <c r="N16" s="9" t="s">
        <v>194</v>
      </c>
      <c r="P16" s="12" t="s">
        <v>180</v>
      </c>
      <c r="Q16" s="13"/>
    </row>
    <row r="17" spans="1:17" x14ac:dyDescent="0.3">
      <c r="A17" s="9" t="s">
        <v>28</v>
      </c>
      <c r="B17" s="18" t="s">
        <v>186</v>
      </c>
      <c r="C17" s="18" t="s">
        <v>186</v>
      </c>
      <c r="D17" s="9" t="s">
        <v>187</v>
      </c>
      <c r="E17" s="10">
        <v>22.156247</v>
      </c>
      <c r="F17" s="10">
        <v>-100.977402</v>
      </c>
      <c r="G17" s="9" t="s">
        <v>188</v>
      </c>
      <c r="H17" s="18" t="s">
        <v>203</v>
      </c>
      <c r="I17" s="9" t="s">
        <v>190</v>
      </c>
      <c r="J17" s="9" t="s">
        <v>191</v>
      </c>
      <c r="K17" s="9" t="s">
        <v>192</v>
      </c>
      <c r="L17" s="8">
        <v>21</v>
      </c>
      <c r="M17" s="9" t="s">
        <v>193</v>
      </c>
      <c r="N17" s="9" t="s">
        <v>194</v>
      </c>
      <c r="P17" s="14" t="s">
        <v>190</v>
      </c>
      <c r="Q17" s="14">
        <f>COUNTIF(I2:I139,P17)</f>
        <v>14</v>
      </c>
    </row>
    <row r="18" spans="1:17" x14ac:dyDescent="0.3">
      <c r="A18" s="9" t="s">
        <v>31</v>
      </c>
      <c r="B18" s="18" t="s">
        <v>198</v>
      </c>
      <c r="C18" s="18" t="s">
        <v>199</v>
      </c>
      <c r="D18" s="9" t="s">
        <v>187</v>
      </c>
      <c r="E18" s="10">
        <v>18.952615000000002</v>
      </c>
      <c r="F18" s="10">
        <v>-99.201616000000001</v>
      </c>
      <c r="G18" s="9" t="s">
        <v>188</v>
      </c>
      <c r="H18" s="18" t="s">
        <v>203</v>
      </c>
      <c r="I18" s="9" t="s">
        <v>195</v>
      </c>
      <c r="J18" s="9" t="s">
        <v>191</v>
      </c>
      <c r="K18" s="9" t="s">
        <v>192</v>
      </c>
      <c r="L18" s="8">
        <v>21</v>
      </c>
      <c r="M18" s="9" t="s">
        <v>200</v>
      </c>
      <c r="N18" s="9" t="s">
        <v>194</v>
      </c>
      <c r="P18" s="14" t="s">
        <v>195</v>
      </c>
      <c r="Q18" s="14">
        <f>COUNTIF(I1:I139,P18)</f>
        <v>89</v>
      </c>
    </row>
    <row r="19" spans="1:17" x14ac:dyDescent="0.3">
      <c r="A19" s="9" t="s">
        <v>33</v>
      </c>
      <c r="B19" s="18" t="s">
        <v>186</v>
      </c>
      <c r="C19" s="18" t="s">
        <v>186</v>
      </c>
      <c r="D19" s="9" t="s">
        <v>187</v>
      </c>
      <c r="E19" s="10">
        <v>22.190949</v>
      </c>
      <c r="F19" s="10">
        <v>-100.917902</v>
      </c>
      <c r="G19" s="9" t="s">
        <v>201</v>
      </c>
      <c r="H19" s="18" t="s">
        <v>203</v>
      </c>
      <c r="I19" s="9" t="s">
        <v>195</v>
      </c>
      <c r="J19" s="9" t="s">
        <v>191</v>
      </c>
      <c r="K19" s="9" t="s">
        <v>192</v>
      </c>
      <c r="L19" s="8">
        <v>23</v>
      </c>
      <c r="M19" s="9" t="s">
        <v>193</v>
      </c>
      <c r="N19" s="9" t="s">
        <v>196</v>
      </c>
      <c r="P19" s="14" t="s">
        <v>202</v>
      </c>
      <c r="Q19" s="14">
        <f>COUNTIF(I1:I139,P19)</f>
        <v>35</v>
      </c>
    </row>
    <row r="20" spans="1:17" x14ac:dyDescent="0.3">
      <c r="A20" s="9" t="s">
        <v>34</v>
      </c>
      <c r="B20" s="18" t="s">
        <v>186</v>
      </c>
      <c r="C20" s="18" t="s">
        <v>186</v>
      </c>
      <c r="D20" s="9" t="s">
        <v>187</v>
      </c>
      <c r="E20" s="10">
        <v>22.153385</v>
      </c>
      <c r="F20" s="10">
        <v>-100.97529400000001</v>
      </c>
      <c r="G20" s="9" t="s">
        <v>188</v>
      </c>
      <c r="H20" s="18" t="s">
        <v>203</v>
      </c>
      <c r="I20" s="9" t="s">
        <v>195</v>
      </c>
      <c r="J20" s="9" t="s">
        <v>191</v>
      </c>
      <c r="K20" s="9" t="s">
        <v>192</v>
      </c>
      <c r="L20" s="8">
        <v>23</v>
      </c>
      <c r="M20" s="9" t="s">
        <v>193</v>
      </c>
      <c r="N20" s="9" t="s">
        <v>194</v>
      </c>
    </row>
    <row r="21" spans="1:17" x14ac:dyDescent="0.3">
      <c r="A21" s="9" t="s">
        <v>35</v>
      </c>
      <c r="B21" s="18" t="s">
        <v>198</v>
      </c>
      <c r="C21" s="18" t="s">
        <v>199</v>
      </c>
      <c r="D21" s="9" t="s">
        <v>187</v>
      </c>
      <c r="E21" s="10">
        <v>18.878188999999999</v>
      </c>
      <c r="F21" s="10">
        <v>-99.222969000000006</v>
      </c>
      <c r="G21" s="9" t="s">
        <v>188</v>
      </c>
      <c r="H21" s="18" t="s">
        <v>189</v>
      </c>
      <c r="I21" s="9" t="s">
        <v>195</v>
      </c>
      <c r="J21" s="9" t="s">
        <v>191</v>
      </c>
      <c r="K21" s="9" t="s">
        <v>192</v>
      </c>
      <c r="L21" s="8">
        <v>30</v>
      </c>
      <c r="M21" s="9" t="s">
        <v>200</v>
      </c>
      <c r="N21" s="9" t="s">
        <v>194</v>
      </c>
      <c r="P21" s="12" t="s">
        <v>184</v>
      </c>
      <c r="Q21" s="13"/>
    </row>
    <row r="22" spans="1:17" x14ac:dyDescent="0.3">
      <c r="A22" s="9" t="s">
        <v>36</v>
      </c>
      <c r="B22" s="18" t="s">
        <v>206</v>
      </c>
      <c r="C22" s="18" t="s">
        <v>207</v>
      </c>
      <c r="D22" s="9" t="s">
        <v>187</v>
      </c>
      <c r="E22" s="10">
        <v>23.730568999999999</v>
      </c>
      <c r="F22" s="10">
        <v>-99.171882999999994</v>
      </c>
      <c r="G22" s="9" t="s">
        <v>188</v>
      </c>
      <c r="H22" s="18" t="s">
        <v>197</v>
      </c>
      <c r="I22" s="9" t="s">
        <v>202</v>
      </c>
      <c r="J22" s="9" t="s">
        <v>191</v>
      </c>
      <c r="K22" s="9" t="s">
        <v>208</v>
      </c>
      <c r="L22" s="8">
        <v>28</v>
      </c>
      <c r="M22" s="9" t="s">
        <v>193</v>
      </c>
      <c r="N22" s="9" t="s">
        <v>194</v>
      </c>
      <c r="P22" s="14" t="s">
        <v>193</v>
      </c>
      <c r="Q22" s="14">
        <f>COUNTIF(M2:M139,P22)</f>
        <v>120</v>
      </c>
    </row>
    <row r="23" spans="1:17" x14ac:dyDescent="0.3">
      <c r="A23" s="9" t="s">
        <v>39</v>
      </c>
      <c r="B23" s="18" t="s">
        <v>186</v>
      </c>
      <c r="C23" s="18" t="s">
        <v>186</v>
      </c>
      <c r="D23" s="9" t="s">
        <v>187</v>
      </c>
      <c r="E23" s="10">
        <v>22.146708</v>
      </c>
      <c r="F23" s="10">
        <v>-100.964355</v>
      </c>
      <c r="G23" s="9" t="s">
        <v>188</v>
      </c>
      <c r="H23" s="18" t="s">
        <v>203</v>
      </c>
      <c r="I23" s="9" t="s">
        <v>202</v>
      </c>
      <c r="J23" s="9" t="s">
        <v>191</v>
      </c>
      <c r="K23" s="9" t="s">
        <v>192</v>
      </c>
      <c r="L23" s="8">
        <v>22</v>
      </c>
      <c r="M23" s="9" t="s">
        <v>193</v>
      </c>
      <c r="N23" s="9" t="s">
        <v>194</v>
      </c>
      <c r="P23" s="14" t="s">
        <v>200</v>
      </c>
      <c r="Q23" s="14">
        <f>COUNTIF(M2:M139,P23)</f>
        <v>16</v>
      </c>
    </row>
    <row r="24" spans="1:17" x14ac:dyDescent="0.3">
      <c r="A24" s="9" t="s">
        <v>40</v>
      </c>
      <c r="B24" s="18" t="s">
        <v>206</v>
      </c>
      <c r="C24" s="18" t="s">
        <v>207</v>
      </c>
      <c r="D24" s="9" t="s">
        <v>187</v>
      </c>
      <c r="E24" s="10">
        <v>23.752942999999998</v>
      </c>
      <c r="F24" s="10">
        <v>-99.166589000000002</v>
      </c>
      <c r="G24" s="9" t="s">
        <v>188</v>
      </c>
      <c r="H24" s="18" t="s">
        <v>203</v>
      </c>
      <c r="I24" s="9" t="s">
        <v>202</v>
      </c>
      <c r="J24" s="9" t="s">
        <v>191</v>
      </c>
      <c r="K24" s="9" t="s">
        <v>192</v>
      </c>
      <c r="L24" s="8">
        <v>24</v>
      </c>
      <c r="M24" s="9" t="s">
        <v>193</v>
      </c>
      <c r="N24" s="9" t="s">
        <v>196</v>
      </c>
      <c r="P24" s="14" t="s">
        <v>209</v>
      </c>
      <c r="Q24" s="14">
        <f>COUNTIF(M2:M139,P24)</f>
        <v>2</v>
      </c>
    </row>
    <row r="25" spans="1:17" x14ac:dyDescent="0.3">
      <c r="A25" s="9" t="s">
        <v>41</v>
      </c>
      <c r="B25" s="18" t="s">
        <v>186</v>
      </c>
      <c r="C25" s="18" t="s">
        <v>186</v>
      </c>
      <c r="D25" s="9" t="s">
        <v>187</v>
      </c>
      <c r="E25" s="10">
        <v>22.154021</v>
      </c>
      <c r="F25" s="10">
        <v>-100.976028</v>
      </c>
      <c r="G25" s="9" t="s">
        <v>188</v>
      </c>
      <c r="H25" s="18" t="s">
        <v>189</v>
      </c>
      <c r="I25" s="9" t="s">
        <v>195</v>
      </c>
      <c r="J25" s="9" t="s">
        <v>191</v>
      </c>
      <c r="K25" s="9" t="s">
        <v>192</v>
      </c>
      <c r="L25" s="8">
        <v>82</v>
      </c>
      <c r="M25" s="9" t="s">
        <v>193</v>
      </c>
      <c r="N25" s="9" t="s">
        <v>194</v>
      </c>
    </row>
    <row r="26" spans="1:17" x14ac:dyDescent="0.3">
      <c r="A26" s="9" t="s">
        <v>43</v>
      </c>
      <c r="B26" s="18" t="s">
        <v>186</v>
      </c>
      <c r="C26" s="18" t="s">
        <v>186</v>
      </c>
      <c r="D26" s="9" t="s">
        <v>187</v>
      </c>
      <c r="E26" s="10">
        <v>22.125603000000002</v>
      </c>
      <c r="F26" s="10">
        <v>-100.907844</v>
      </c>
      <c r="G26" s="9" t="s">
        <v>188</v>
      </c>
      <c r="H26" s="18" t="s">
        <v>197</v>
      </c>
      <c r="I26" s="9" t="s">
        <v>195</v>
      </c>
      <c r="J26" s="9" t="s">
        <v>191</v>
      </c>
      <c r="K26" s="9" t="s">
        <v>192</v>
      </c>
      <c r="L26" s="8">
        <v>22</v>
      </c>
      <c r="M26" s="9" t="s">
        <v>193</v>
      </c>
      <c r="N26" s="9" t="s">
        <v>194</v>
      </c>
      <c r="P26" s="12" t="s">
        <v>185</v>
      </c>
      <c r="Q26" s="13"/>
    </row>
    <row r="27" spans="1:17" x14ac:dyDescent="0.3">
      <c r="A27" s="9" t="s">
        <v>44</v>
      </c>
      <c r="B27" s="18" t="s">
        <v>206</v>
      </c>
      <c r="C27" s="18" t="s">
        <v>207</v>
      </c>
      <c r="D27" s="9" t="s">
        <v>187</v>
      </c>
      <c r="E27" s="10">
        <v>23.733000000000001</v>
      </c>
      <c r="F27" s="10">
        <v>-99.132999999999996</v>
      </c>
      <c r="G27" s="9" t="s">
        <v>188</v>
      </c>
      <c r="H27" s="18" t="s">
        <v>189</v>
      </c>
      <c r="I27" s="9" t="s">
        <v>195</v>
      </c>
      <c r="J27" s="9" t="s">
        <v>191</v>
      </c>
      <c r="K27" s="9" t="s">
        <v>192</v>
      </c>
      <c r="L27" s="8">
        <v>23</v>
      </c>
      <c r="M27" s="9" t="s">
        <v>193</v>
      </c>
      <c r="N27" s="9" t="s">
        <v>194</v>
      </c>
      <c r="P27" s="14" t="s">
        <v>196</v>
      </c>
      <c r="Q27" s="14">
        <f>COUNTIF(N2:N139,P27)</f>
        <v>35</v>
      </c>
    </row>
    <row r="28" spans="1:17" x14ac:dyDescent="0.3">
      <c r="A28" s="9" t="s">
        <v>45</v>
      </c>
      <c r="B28" s="18" t="s">
        <v>186</v>
      </c>
      <c r="C28" s="18" t="s">
        <v>186</v>
      </c>
      <c r="D28" s="9" t="s">
        <v>187</v>
      </c>
      <c r="E28" s="10">
        <v>22.165150000000001</v>
      </c>
      <c r="F28" s="10">
        <v>-100.987015</v>
      </c>
      <c r="G28" s="9" t="s">
        <v>201</v>
      </c>
      <c r="H28" s="18" t="s">
        <v>197</v>
      </c>
      <c r="I28" s="9" t="s">
        <v>195</v>
      </c>
      <c r="J28" s="9" t="s">
        <v>191</v>
      </c>
      <c r="K28" s="9" t="s">
        <v>192</v>
      </c>
      <c r="L28" s="8">
        <v>23</v>
      </c>
      <c r="M28" s="9" t="s">
        <v>193</v>
      </c>
      <c r="N28" s="9" t="s">
        <v>196</v>
      </c>
      <c r="P28" s="14" t="s">
        <v>194</v>
      </c>
      <c r="Q28" s="14">
        <f>COUNTIF(N1:N139,P28)</f>
        <v>98</v>
      </c>
    </row>
    <row r="29" spans="1:17" x14ac:dyDescent="0.3">
      <c r="A29" s="9" t="s">
        <v>46</v>
      </c>
      <c r="B29" s="18" t="s">
        <v>206</v>
      </c>
      <c r="C29" s="18" t="s">
        <v>207</v>
      </c>
      <c r="D29" s="9" t="s">
        <v>187</v>
      </c>
      <c r="E29" s="10">
        <v>23.752873999999998</v>
      </c>
      <c r="F29" s="10">
        <v>-99.169241999999997</v>
      </c>
      <c r="G29" s="9" t="s">
        <v>188</v>
      </c>
      <c r="H29" s="18" t="s">
        <v>189</v>
      </c>
      <c r="I29" s="9" t="s">
        <v>195</v>
      </c>
      <c r="J29" s="9" t="s">
        <v>191</v>
      </c>
      <c r="K29" s="9" t="s">
        <v>192</v>
      </c>
      <c r="L29" s="8">
        <v>23</v>
      </c>
      <c r="M29" s="9" t="s">
        <v>193</v>
      </c>
      <c r="N29" s="9" t="s">
        <v>194</v>
      </c>
      <c r="P29" s="14" t="s">
        <v>210</v>
      </c>
      <c r="Q29" s="14">
        <f>COUNTIF(N2:N139,P29)</f>
        <v>5</v>
      </c>
    </row>
    <row r="30" spans="1:17" x14ac:dyDescent="0.3">
      <c r="A30" s="9" t="s">
        <v>47</v>
      </c>
      <c r="B30" s="18" t="s">
        <v>186</v>
      </c>
      <c r="C30" s="18" t="s">
        <v>186</v>
      </c>
      <c r="D30" s="9" t="s">
        <v>187</v>
      </c>
      <c r="E30" s="10">
        <v>22.151796000000001</v>
      </c>
      <c r="F30" s="10">
        <v>-100.989075</v>
      </c>
      <c r="G30" s="9" t="s">
        <v>201</v>
      </c>
      <c r="H30" s="18" t="s">
        <v>203</v>
      </c>
      <c r="I30" s="9" t="s">
        <v>195</v>
      </c>
      <c r="J30" s="9" t="s">
        <v>191</v>
      </c>
      <c r="K30" s="9" t="s">
        <v>192</v>
      </c>
      <c r="L30" s="8">
        <v>22</v>
      </c>
      <c r="M30" s="9" t="s">
        <v>193</v>
      </c>
      <c r="N30" s="9" t="s">
        <v>196</v>
      </c>
    </row>
    <row r="31" spans="1:17" x14ac:dyDescent="0.3">
      <c r="A31" s="9" t="s">
        <v>48</v>
      </c>
      <c r="B31" s="18" t="s">
        <v>198</v>
      </c>
      <c r="C31" s="18" t="s">
        <v>199</v>
      </c>
      <c r="D31" s="9" t="s">
        <v>187</v>
      </c>
      <c r="E31" s="10">
        <v>18.844818</v>
      </c>
      <c r="F31" s="10">
        <v>-99.182758000000007</v>
      </c>
      <c r="G31" s="9" t="s">
        <v>188</v>
      </c>
      <c r="H31" s="18" t="s">
        <v>203</v>
      </c>
      <c r="I31" s="9" t="s">
        <v>190</v>
      </c>
      <c r="J31" s="9" t="s">
        <v>191</v>
      </c>
      <c r="K31" s="9" t="s">
        <v>192</v>
      </c>
      <c r="L31" s="8">
        <v>21</v>
      </c>
      <c r="M31" s="9" t="s">
        <v>193</v>
      </c>
      <c r="N31" s="9" t="s">
        <v>194</v>
      </c>
    </row>
    <row r="32" spans="1:17" x14ac:dyDescent="0.3">
      <c r="A32" s="9" t="s">
        <v>49</v>
      </c>
      <c r="B32" s="18" t="s">
        <v>206</v>
      </c>
      <c r="C32" s="18" t="s">
        <v>207</v>
      </c>
      <c r="D32" s="9" t="s">
        <v>187</v>
      </c>
      <c r="E32" s="10">
        <v>23.735697999999999</v>
      </c>
      <c r="F32" s="10">
        <v>-99.159851000000003</v>
      </c>
      <c r="G32" s="9" t="s">
        <v>188</v>
      </c>
      <c r="H32" s="18" t="s">
        <v>189</v>
      </c>
      <c r="I32" s="9" t="s">
        <v>195</v>
      </c>
      <c r="J32" s="9" t="s">
        <v>204</v>
      </c>
      <c r="K32" s="9" t="s">
        <v>205</v>
      </c>
      <c r="L32" s="8">
        <v>20</v>
      </c>
      <c r="M32" s="9" t="s">
        <v>209</v>
      </c>
      <c r="N32" s="9" t="s">
        <v>194</v>
      </c>
      <c r="P32" s="12" t="s">
        <v>178</v>
      </c>
      <c r="Q32" s="13"/>
    </row>
    <row r="33" spans="1:17" x14ac:dyDescent="0.3">
      <c r="A33" s="9" t="s">
        <v>50</v>
      </c>
      <c r="B33" s="18" t="s">
        <v>186</v>
      </c>
      <c r="C33" s="18" t="s">
        <v>186</v>
      </c>
      <c r="D33" s="9" t="s">
        <v>187</v>
      </c>
      <c r="E33" s="10">
        <v>22.169184000000001</v>
      </c>
      <c r="F33" s="10">
        <v>-100.98684299999999</v>
      </c>
      <c r="G33" s="9" t="s">
        <v>188</v>
      </c>
      <c r="H33" s="18" t="s">
        <v>189</v>
      </c>
      <c r="I33" s="9" t="s">
        <v>195</v>
      </c>
      <c r="J33" s="9" t="s">
        <v>191</v>
      </c>
      <c r="K33" s="9" t="s">
        <v>192</v>
      </c>
      <c r="L33" s="8">
        <v>23</v>
      </c>
      <c r="M33" s="9" t="s">
        <v>193</v>
      </c>
      <c r="N33" s="9" t="s">
        <v>194</v>
      </c>
      <c r="P33" s="14" t="s">
        <v>201</v>
      </c>
      <c r="Q33" s="14">
        <f>COUNTIF(G2:G139,P33)</f>
        <v>26</v>
      </c>
    </row>
    <row r="34" spans="1:17" x14ac:dyDescent="0.3">
      <c r="A34" s="9" t="s">
        <v>51</v>
      </c>
      <c r="B34" s="18" t="s">
        <v>186</v>
      </c>
      <c r="C34" s="18" t="s">
        <v>186</v>
      </c>
      <c r="D34" s="9" t="s">
        <v>187</v>
      </c>
      <c r="E34" s="10">
        <v>22.15</v>
      </c>
      <c r="F34" s="10">
        <v>-100.983</v>
      </c>
      <c r="G34" s="9" t="s">
        <v>188</v>
      </c>
      <c r="H34" s="18" t="s">
        <v>197</v>
      </c>
      <c r="I34" s="9" t="s">
        <v>190</v>
      </c>
      <c r="J34" s="9" t="s">
        <v>191</v>
      </c>
      <c r="K34" s="9" t="s">
        <v>192</v>
      </c>
      <c r="L34" s="8">
        <v>21</v>
      </c>
      <c r="M34" s="9" t="s">
        <v>193</v>
      </c>
      <c r="N34" s="9" t="s">
        <v>196</v>
      </c>
      <c r="P34" s="14" t="s">
        <v>188</v>
      </c>
      <c r="Q34" s="14">
        <f>COUNTIF(G2:G139,P34)</f>
        <v>112</v>
      </c>
    </row>
    <row r="35" spans="1:17" x14ac:dyDescent="0.3">
      <c r="A35" s="9" t="s">
        <v>52</v>
      </c>
      <c r="B35" s="18" t="s">
        <v>186</v>
      </c>
      <c r="C35" s="18" t="s">
        <v>186</v>
      </c>
      <c r="D35" s="9" t="s">
        <v>187</v>
      </c>
      <c r="E35" s="10">
        <v>22.137177999999999</v>
      </c>
      <c r="F35" s="10">
        <v>-101.013169</v>
      </c>
      <c r="G35" s="9" t="s">
        <v>188</v>
      </c>
      <c r="H35" s="18" t="s">
        <v>203</v>
      </c>
      <c r="I35" s="9" t="s">
        <v>195</v>
      </c>
      <c r="J35" s="9" t="s">
        <v>191</v>
      </c>
      <c r="K35" s="9" t="s">
        <v>192</v>
      </c>
      <c r="L35" s="8">
        <v>22</v>
      </c>
      <c r="M35" s="9" t="s">
        <v>193</v>
      </c>
      <c r="N35" s="9" t="s">
        <v>194</v>
      </c>
    </row>
    <row r="36" spans="1:17" x14ac:dyDescent="0.3">
      <c r="A36" s="9" t="s">
        <v>53</v>
      </c>
      <c r="B36" s="18" t="s">
        <v>198</v>
      </c>
      <c r="C36" s="18" t="s">
        <v>199</v>
      </c>
      <c r="D36" s="9" t="s">
        <v>187</v>
      </c>
      <c r="E36" s="10">
        <v>18.839670999999999</v>
      </c>
      <c r="F36" s="10">
        <v>-99.223896999999994</v>
      </c>
      <c r="G36" s="9" t="s">
        <v>201</v>
      </c>
      <c r="H36" s="18" t="s">
        <v>203</v>
      </c>
      <c r="I36" s="9" t="s">
        <v>202</v>
      </c>
      <c r="J36" s="9" t="s">
        <v>191</v>
      </c>
      <c r="K36" s="9" t="s">
        <v>192</v>
      </c>
      <c r="L36" s="8">
        <v>27</v>
      </c>
      <c r="M36" s="9" t="s">
        <v>193</v>
      </c>
      <c r="N36" s="9" t="s">
        <v>194</v>
      </c>
    </row>
    <row r="37" spans="1:17" x14ac:dyDescent="0.3">
      <c r="A37" s="9" t="s">
        <v>54</v>
      </c>
      <c r="B37" s="18" t="s">
        <v>186</v>
      </c>
      <c r="C37" s="18" t="s">
        <v>186</v>
      </c>
      <c r="D37" s="9" t="s">
        <v>187</v>
      </c>
      <c r="E37" s="10">
        <v>22.160571999999998</v>
      </c>
      <c r="F37" s="10">
        <v>-100.989418</v>
      </c>
      <c r="G37" s="9" t="s">
        <v>188</v>
      </c>
      <c r="H37" s="18" t="s">
        <v>197</v>
      </c>
      <c r="I37" s="9" t="s">
        <v>195</v>
      </c>
      <c r="J37" s="9" t="s">
        <v>191</v>
      </c>
      <c r="K37" s="9" t="s">
        <v>192</v>
      </c>
      <c r="L37" s="8">
        <v>21</v>
      </c>
      <c r="M37" s="9" t="s">
        <v>193</v>
      </c>
      <c r="N37" s="9" t="s">
        <v>194</v>
      </c>
    </row>
    <row r="38" spans="1:17" x14ac:dyDescent="0.3">
      <c r="A38" s="9" t="s">
        <v>55</v>
      </c>
      <c r="B38" s="18" t="s">
        <v>186</v>
      </c>
      <c r="C38" s="18" t="s">
        <v>186</v>
      </c>
      <c r="D38" s="9" t="s">
        <v>187</v>
      </c>
      <c r="E38" s="10">
        <v>22.150310000000001</v>
      </c>
      <c r="F38" s="10">
        <v>-100.900536</v>
      </c>
      <c r="G38" s="9" t="s">
        <v>188</v>
      </c>
      <c r="H38" s="18" t="s">
        <v>197</v>
      </c>
      <c r="I38" s="9" t="s">
        <v>195</v>
      </c>
      <c r="J38" s="9" t="s">
        <v>191</v>
      </c>
      <c r="K38" s="9" t="s">
        <v>192</v>
      </c>
      <c r="L38" s="8">
        <v>22</v>
      </c>
      <c r="M38" s="9" t="s">
        <v>193</v>
      </c>
      <c r="N38" s="9" t="s">
        <v>196</v>
      </c>
    </row>
    <row r="39" spans="1:17" x14ac:dyDescent="0.3">
      <c r="A39" s="9" t="s">
        <v>56</v>
      </c>
      <c r="B39" s="18" t="s">
        <v>186</v>
      </c>
      <c r="C39" s="18" t="s">
        <v>186</v>
      </c>
      <c r="D39" s="9" t="s">
        <v>187</v>
      </c>
      <c r="E39" s="10">
        <v>22.125786000000002</v>
      </c>
      <c r="F39" s="10">
        <v>-100.94370499999999</v>
      </c>
      <c r="G39" s="9" t="s">
        <v>201</v>
      </c>
      <c r="H39" s="18" t="s">
        <v>197</v>
      </c>
      <c r="I39" s="9" t="s">
        <v>195</v>
      </c>
      <c r="J39" s="9" t="s">
        <v>191</v>
      </c>
      <c r="K39" s="9" t="s">
        <v>192</v>
      </c>
      <c r="L39" s="8">
        <v>82</v>
      </c>
      <c r="M39" s="9" t="s">
        <v>193</v>
      </c>
      <c r="N39" s="9" t="s">
        <v>196</v>
      </c>
    </row>
    <row r="40" spans="1:17" x14ac:dyDescent="0.3">
      <c r="A40" s="9" t="s">
        <v>57</v>
      </c>
      <c r="B40" s="18" t="s">
        <v>206</v>
      </c>
      <c r="C40" s="18" t="s">
        <v>207</v>
      </c>
      <c r="D40" s="9" t="s">
        <v>187</v>
      </c>
      <c r="E40" s="10">
        <v>23.738067000000001</v>
      </c>
      <c r="F40" s="10">
        <v>-99.139905999999996</v>
      </c>
      <c r="G40" s="9" t="s">
        <v>188</v>
      </c>
      <c r="H40" s="18" t="s">
        <v>197</v>
      </c>
      <c r="I40" s="9" t="s">
        <v>195</v>
      </c>
      <c r="J40" s="9" t="s">
        <v>191</v>
      </c>
      <c r="K40" s="9" t="s">
        <v>192</v>
      </c>
      <c r="L40" s="8">
        <v>23</v>
      </c>
      <c r="M40" s="9" t="s">
        <v>193</v>
      </c>
      <c r="N40" s="9" t="s">
        <v>194</v>
      </c>
    </row>
    <row r="41" spans="1:17" x14ac:dyDescent="0.3">
      <c r="A41" s="9" t="s">
        <v>58</v>
      </c>
      <c r="B41" s="18" t="s">
        <v>198</v>
      </c>
      <c r="C41" s="18" t="s">
        <v>199</v>
      </c>
      <c r="D41" s="9" t="s">
        <v>187</v>
      </c>
      <c r="E41" s="10">
        <v>18.895187</v>
      </c>
      <c r="F41" s="10">
        <v>-99.180390000000003</v>
      </c>
      <c r="G41" s="9" t="s">
        <v>188</v>
      </c>
      <c r="H41" s="18" t="s">
        <v>189</v>
      </c>
      <c r="I41" s="9" t="s">
        <v>195</v>
      </c>
      <c r="J41" s="9" t="s">
        <v>191</v>
      </c>
      <c r="K41" s="9" t="s">
        <v>192</v>
      </c>
      <c r="L41" s="8">
        <v>18</v>
      </c>
      <c r="M41" s="9" t="s">
        <v>193</v>
      </c>
      <c r="N41" s="9" t="s">
        <v>194</v>
      </c>
    </row>
    <row r="42" spans="1:17" x14ac:dyDescent="0.3">
      <c r="A42" s="9" t="s">
        <v>59</v>
      </c>
      <c r="B42" s="18" t="s">
        <v>198</v>
      </c>
      <c r="C42" s="18" t="s">
        <v>199</v>
      </c>
      <c r="D42" s="9" t="s">
        <v>187</v>
      </c>
      <c r="E42" s="10">
        <v>18.935191</v>
      </c>
      <c r="F42" s="10">
        <v>-99.236239999999995</v>
      </c>
      <c r="G42" s="9" t="s">
        <v>188</v>
      </c>
      <c r="H42" s="18" t="s">
        <v>189</v>
      </c>
      <c r="I42" s="9" t="s">
        <v>190</v>
      </c>
      <c r="J42" s="9" t="s">
        <v>191</v>
      </c>
      <c r="K42" s="9" t="s">
        <v>192</v>
      </c>
      <c r="L42" s="8">
        <v>27</v>
      </c>
      <c r="M42" s="9" t="s">
        <v>200</v>
      </c>
      <c r="N42" s="9" t="s">
        <v>194</v>
      </c>
    </row>
    <row r="43" spans="1:17" x14ac:dyDescent="0.3">
      <c r="A43" s="9" t="s">
        <v>60</v>
      </c>
      <c r="B43" s="18" t="s">
        <v>198</v>
      </c>
      <c r="C43" s="18" t="s">
        <v>199</v>
      </c>
      <c r="D43" s="9" t="s">
        <v>187</v>
      </c>
      <c r="E43" s="10">
        <v>18.925773</v>
      </c>
      <c r="F43" s="10">
        <v>-99.219588999999999</v>
      </c>
      <c r="G43" s="9" t="s">
        <v>188</v>
      </c>
      <c r="H43" s="18" t="s">
        <v>189</v>
      </c>
      <c r="I43" s="9" t="s">
        <v>202</v>
      </c>
      <c r="J43" s="9" t="s">
        <v>191</v>
      </c>
      <c r="K43" s="9" t="s">
        <v>192</v>
      </c>
      <c r="L43" s="8">
        <v>69</v>
      </c>
      <c r="M43" s="9" t="s">
        <v>193</v>
      </c>
      <c r="N43" s="9" t="s">
        <v>210</v>
      </c>
    </row>
    <row r="44" spans="1:17" x14ac:dyDescent="0.3">
      <c r="A44" s="9" t="s">
        <v>61</v>
      </c>
      <c r="B44" s="18" t="s">
        <v>206</v>
      </c>
      <c r="C44" s="18" t="s">
        <v>207</v>
      </c>
      <c r="D44" s="9" t="s">
        <v>187</v>
      </c>
      <c r="E44" s="10">
        <v>23.77103</v>
      </c>
      <c r="F44" s="10">
        <v>-99.167081999999994</v>
      </c>
      <c r="G44" s="9" t="s">
        <v>188</v>
      </c>
      <c r="H44" s="18" t="s">
        <v>189</v>
      </c>
      <c r="I44" s="9" t="s">
        <v>195</v>
      </c>
      <c r="J44" s="9" t="s">
        <v>191</v>
      </c>
      <c r="K44" s="9" t="s">
        <v>192</v>
      </c>
      <c r="L44" s="8">
        <v>23</v>
      </c>
      <c r="M44" s="9" t="s">
        <v>193</v>
      </c>
      <c r="N44" s="9" t="s">
        <v>194</v>
      </c>
    </row>
    <row r="45" spans="1:17" x14ac:dyDescent="0.3">
      <c r="A45" s="9" t="s">
        <v>62</v>
      </c>
      <c r="B45" s="18" t="s">
        <v>198</v>
      </c>
      <c r="C45" s="18" t="s">
        <v>199</v>
      </c>
      <c r="D45" s="9" t="s">
        <v>187</v>
      </c>
      <c r="E45" s="10">
        <v>18.95298</v>
      </c>
      <c r="F45" s="10">
        <v>-99.260789000000003</v>
      </c>
      <c r="G45" s="9" t="s">
        <v>201</v>
      </c>
      <c r="H45" s="18" t="s">
        <v>197</v>
      </c>
      <c r="I45" s="9" t="s">
        <v>202</v>
      </c>
      <c r="J45" s="9" t="s">
        <v>204</v>
      </c>
      <c r="K45" s="9" t="s">
        <v>205</v>
      </c>
      <c r="L45" s="8">
        <v>43</v>
      </c>
      <c r="M45" s="9" t="s">
        <v>200</v>
      </c>
      <c r="N45" s="9" t="s">
        <v>194</v>
      </c>
    </row>
    <row r="46" spans="1:17" x14ac:dyDescent="0.3">
      <c r="A46" s="9" t="s">
        <v>63</v>
      </c>
      <c r="B46" s="18" t="s">
        <v>186</v>
      </c>
      <c r="C46" s="18" t="s">
        <v>186</v>
      </c>
      <c r="D46" s="9" t="s">
        <v>187</v>
      </c>
      <c r="E46" s="10">
        <v>22.156724000000001</v>
      </c>
      <c r="F46" s="10">
        <v>-100.984268</v>
      </c>
      <c r="G46" s="9" t="s">
        <v>188</v>
      </c>
      <c r="H46" s="18" t="s">
        <v>203</v>
      </c>
      <c r="I46" s="9" t="s">
        <v>202</v>
      </c>
      <c r="J46" s="9" t="s">
        <v>191</v>
      </c>
      <c r="K46" s="9" t="s">
        <v>192</v>
      </c>
      <c r="L46" s="8">
        <v>21</v>
      </c>
      <c r="M46" s="9" t="s">
        <v>193</v>
      </c>
      <c r="N46" s="9" t="s">
        <v>210</v>
      </c>
    </row>
    <row r="47" spans="1:17" x14ac:dyDescent="0.3">
      <c r="A47" s="9" t="s">
        <v>65</v>
      </c>
      <c r="B47" s="18" t="s">
        <v>186</v>
      </c>
      <c r="C47" s="18" t="s">
        <v>186</v>
      </c>
      <c r="D47" s="9" t="s">
        <v>187</v>
      </c>
      <c r="E47" s="10">
        <v>22.144414999999999</v>
      </c>
      <c r="F47" s="10">
        <v>-100.933097</v>
      </c>
      <c r="G47" s="9" t="s">
        <v>188</v>
      </c>
      <c r="H47" s="18" t="s">
        <v>197</v>
      </c>
      <c r="I47" s="9" t="s">
        <v>202</v>
      </c>
      <c r="J47" s="9" t="s">
        <v>191</v>
      </c>
      <c r="K47" s="9" t="s">
        <v>192</v>
      </c>
      <c r="L47" s="8">
        <v>22</v>
      </c>
      <c r="M47" s="9" t="s">
        <v>193</v>
      </c>
      <c r="N47" s="9" t="s">
        <v>194</v>
      </c>
    </row>
    <row r="48" spans="1:17" x14ac:dyDescent="0.3">
      <c r="A48" s="9" t="s">
        <v>67</v>
      </c>
      <c r="B48" s="18" t="s">
        <v>186</v>
      </c>
      <c r="C48" s="18" t="s">
        <v>186</v>
      </c>
      <c r="D48" s="9" t="s">
        <v>187</v>
      </c>
      <c r="E48" s="10">
        <v>22.142429</v>
      </c>
      <c r="F48" s="10">
        <v>-100.949147</v>
      </c>
      <c r="G48" s="9" t="s">
        <v>188</v>
      </c>
      <c r="H48" s="18" t="s">
        <v>189</v>
      </c>
      <c r="I48" s="9" t="s">
        <v>195</v>
      </c>
      <c r="J48" s="9" t="s">
        <v>191</v>
      </c>
      <c r="K48" s="9" t="s">
        <v>192</v>
      </c>
      <c r="L48" s="8">
        <v>20</v>
      </c>
      <c r="M48" s="9" t="s">
        <v>193</v>
      </c>
      <c r="N48" s="9" t="s">
        <v>194</v>
      </c>
    </row>
    <row r="49" spans="1:14" x14ac:dyDescent="0.3">
      <c r="A49" s="9" t="s">
        <v>68</v>
      </c>
      <c r="B49" s="18" t="s">
        <v>186</v>
      </c>
      <c r="C49" s="18" t="s">
        <v>186</v>
      </c>
      <c r="D49" s="9" t="s">
        <v>187</v>
      </c>
      <c r="E49" s="10">
        <v>22.142208</v>
      </c>
      <c r="F49" s="10">
        <v>-101.022785</v>
      </c>
      <c r="G49" s="9" t="s">
        <v>201</v>
      </c>
      <c r="H49" s="18" t="s">
        <v>203</v>
      </c>
      <c r="I49" s="9" t="s">
        <v>195</v>
      </c>
      <c r="J49" s="9" t="s">
        <v>191</v>
      </c>
      <c r="K49" s="9" t="s">
        <v>192</v>
      </c>
      <c r="L49" s="8">
        <v>24</v>
      </c>
      <c r="M49" s="9" t="s">
        <v>193</v>
      </c>
      <c r="N49" s="9" t="s">
        <v>194</v>
      </c>
    </row>
    <row r="50" spans="1:14" x14ac:dyDescent="0.3">
      <c r="A50" s="9" t="s">
        <v>69</v>
      </c>
      <c r="B50" s="18" t="s">
        <v>186</v>
      </c>
      <c r="C50" s="18" t="s">
        <v>186</v>
      </c>
      <c r="D50" s="9" t="s">
        <v>187</v>
      </c>
      <c r="E50" s="10">
        <v>22.15</v>
      </c>
      <c r="F50" s="10">
        <v>-100.983</v>
      </c>
      <c r="G50" s="9" t="s">
        <v>188</v>
      </c>
      <c r="H50" s="18" t="s">
        <v>203</v>
      </c>
      <c r="I50" s="9" t="s">
        <v>195</v>
      </c>
      <c r="J50" s="9" t="s">
        <v>191</v>
      </c>
      <c r="K50" s="9" t="s">
        <v>192</v>
      </c>
      <c r="L50" s="8">
        <v>21</v>
      </c>
      <c r="M50" s="9" t="s">
        <v>193</v>
      </c>
      <c r="N50" s="9" t="s">
        <v>194</v>
      </c>
    </row>
    <row r="51" spans="1:14" x14ac:dyDescent="0.3">
      <c r="A51" s="9" t="s">
        <v>70</v>
      </c>
      <c r="B51" s="18" t="s">
        <v>206</v>
      </c>
      <c r="C51" s="18" t="s">
        <v>207</v>
      </c>
      <c r="D51" s="9" t="s">
        <v>187</v>
      </c>
      <c r="E51" s="10">
        <v>23.758814999999998</v>
      </c>
      <c r="F51" s="10">
        <v>-99.171216000000001</v>
      </c>
      <c r="G51" s="9" t="s">
        <v>188</v>
      </c>
      <c r="H51" s="18" t="s">
        <v>197</v>
      </c>
      <c r="I51" s="9" t="s">
        <v>202</v>
      </c>
      <c r="J51" s="9" t="s">
        <v>191</v>
      </c>
      <c r="K51" s="9" t="s">
        <v>192</v>
      </c>
      <c r="L51" s="8">
        <v>23</v>
      </c>
      <c r="M51" s="9" t="s">
        <v>193</v>
      </c>
      <c r="N51" s="9" t="s">
        <v>194</v>
      </c>
    </row>
    <row r="52" spans="1:14" x14ac:dyDescent="0.3">
      <c r="A52" s="9" t="s">
        <v>71</v>
      </c>
      <c r="B52" s="18" t="s">
        <v>198</v>
      </c>
      <c r="C52" s="18" t="s">
        <v>199</v>
      </c>
      <c r="D52" s="9" t="s">
        <v>187</v>
      </c>
      <c r="E52" s="10">
        <v>18.877718999999999</v>
      </c>
      <c r="F52" s="10">
        <v>-99.222989999999996</v>
      </c>
      <c r="G52" s="9" t="s">
        <v>188</v>
      </c>
      <c r="H52" s="18" t="s">
        <v>203</v>
      </c>
      <c r="I52" s="9" t="s">
        <v>195</v>
      </c>
      <c r="J52" s="9" t="s">
        <v>191</v>
      </c>
      <c r="K52" s="9" t="s">
        <v>192</v>
      </c>
      <c r="L52" s="8">
        <v>33</v>
      </c>
      <c r="M52" s="9" t="s">
        <v>200</v>
      </c>
      <c r="N52" s="9" t="s">
        <v>194</v>
      </c>
    </row>
    <row r="53" spans="1:14" x14ac:dyDescent="0.3">
      <c r="A53" s="9" t="s">
        <v>72</v>
      </c>
      <c r="B53" s="18" t="s">
        <v>186</v>
      </c>
      <c r="C53" s="18" t="s">
        <v>186</v>
      </c>
      <c r="D53" s="9" t="s">
        <v>187</v>
      </c>
      <c r="E53" s="10">
        <v>22.138055000000001</v>
      </c>
      <c r="F53" s="10">
        <v>-100.93600499999999</v>
      </c>
      <c r="G53" s="9" t="s">
        <v>201</v>
      </c>
      <c r="H53" s="18" t="s">
        <v>197</v>
      </c>
      <c r="I53" s="9" t="s">
        <v>190</v>
      </c>
      <c r="J53" s="9" t="s">
        <v>191</v>
      </c>
      <c r="K53" s="9" t="s">
        <v>192</v>
      </c>
      <c r="L53" s="8">
        <v>22</v>
      </c>
      <c r="M53" s="9" t="s">
        <v>193</v>
      </c>
      <c r="N53" s="9" t="s">
        <v>196</v>
      </c>
    </row>
    <row r="54" spans="1:14" x14ac:dyDescent="0.3">
      <c r="A54" s="9" t="s">
        <v>73</v>
      </c>
      <c r="B54" s="18" t="s">
        <v>186</v>
      </c>
      <c r="C54" s="18" t="s">
        <v>186</v>
      </c>
      <c r="D54" s="9" t="s">
        <v>187</v>
      </c>
      <c r="E54" s="10">
        <v>22.175833000000001</v>
      </c>
      <c r="F54" s="10">
        <v>-100.986671</v>
      </c>
      <c r="G54" s="9" t="s">
        <v>188</v>
      </c>
      <c r="H54" s="18" t="s">
        <v>203</v>
      </c>
      <c r="I54" s="9" t="s">
        <v>195</v>
      </c>
      <c r="J54" s="9" t="s">
        <v>191</v>
      </c>
      <c r="K54" s="9" t="s">
        <v>192</v>
      </c>
      <c r="L54" s="8">
        <v>22</v>
      </c>
      <c r="M54" s="9" t="s">
        <v>193</v>
      </c>
      <c r="N54" s="9" t="s">
        <v>196</v>
      </c>
    </row>
    <row r="55" spans="1:14" x14ac:dyDescent="0.3">
      <c r="A55" s="9" t="s">
        <v>74</v>
      </c>
      <c r="B55" s="18" t="s">
        <v>186</v>
      </c>
      <c r="C55" s="18" t="s">
        <v>186</v>
      </c>
      <c r="D55" s="9" t="s">
        <v>187</v>
      </c>
      <c r="E55" s="10">
        <v>22.150683000000001</v>
      </c>
      <c r="F55" s="10">
        <v>-100.975342</v>
      </c>
      <c r="G55" s="9" t="s">
        <v>188</v>
      </c>
      <c r="H55" s="18" t="s">
        <v>197</v>
      </c>
      <c r="I55" s="9" t="s">
        <v>195</v>
      </c>
      <c r="J55" s="9" t="s">
        <v>191</v>
      </c>
      <c r="K55" s="9" t="s">
        <v>192</v>
      </c>
      <c r="L55" s="8">
        <v>20</v>
      </c>
      <c r="M55" s="9" t="s">
        <v>193</v>
      </c>
      <c r="N55" s="9" t="s">
        <v>194</v>
      </c>
    </row>
    <row r="56" spans="1:14" x14ac:dyDescent="0.3">
      <c r="A56" s="9" t="s">
        <v>75</v>
      </c>
      <c r="B56" s="18" t="s">
        <v>186</v>
      </c>
      <c r="C56" s="18" t="s">
        <v>186</v>
      </c>
      <c r="D56" s="9" t="s">
        <v>187</v>
      </c>
      <c r="E56" s="10">
        <v>22.143288999999999</v>
      </c>
      <c r="F56" s="10">
        <v>-100.987683</v>
      </c>
      <c r="G56" s="9" t="s">
        <v>188</v>
      </c>
      <c r="H56" s="18" t="s">
        <v>189</v>
      </c>
      <c r="I56" s="9" t="s">
        <v>202</v>
      </c>
      <c r="J56" s="9" t="s">
        <v>204</v>
      </c>
      <c r="K56" s="9" t="s">
        <v>208</v>
      </c>
      <c r="L56" s="8">
        <v>60</v>
      </c>
      <c r="M56" s="9" t="s">
        <v>200</v>
      </c>
      <c r="N56" s="9" t="s">
        <v>194</v>
      </c>
    </row>
    <row r="57" spans="1:14" x14ac:dyDescent="0.3">
      <c r="A57" s="9" t="s">
        <v>76</v>
      </c>
      <c r="B57" s="18" t="s">
        <v>186</v>
      </c>
      <c r="C57" s="18" t="s">
        <v>186</v>
      </c>
      <c r="D57" s="9" t="s">
        <v>187</v>
      </c>
      <c r="E57" s="10">
        <v>22.168997000000001</v>
      </c>
      <c r="F57" s="10">
        <v>-100.97437600000001</v>
      </c>
      <c r="G57" s="9" t="s">
        <v>188</v>
      </c>
      <c r="H57" s="18" t="s">
        <v>197</v>
      </c>
      <c r="I57" s="9" t="s">
        <v>190</v>
      </c>
      <c r="J57" s="9" t="s">
        <v>191</v>
      </c>
      <c r="K57" s="9" t="s">
        <v>192</v>
      </c>
      <c r="L57" s="8">
        <v>82</v>
      </c>
      <c r="M57" s="9" t="s">
        <v>193</v>
      </c>
      <c r="N57" s="9" t="s">
        <v>194</v>
      </c>
    </row>
    <row r="58" spans="1:14" x14ac:dyDescent="0.3">
      <c r="A58" s="9" t="s">
        <v>77</v>
      </c>
      <c r="B58" s="18" t="s">
        <v>186</v>
      </c>
      <c r="C58" s="18" t="s">
        <v>186</v>
      </c>
      <c r="D58" s="9" t="s">
        <v>187</v>
      </c>
      <c r="E58" s="10">
        <v>22.196624</v>
      </c>
      <c r="F58" s="10">
        <v>-100.91217</v>
      </c>
      <c r="G58" s="9" t="s">
        <v>201</v>
      </c>
      <c r="H58" s="18" t="s">
        <v>203</v>
      </c>
      <c r="I58" s="9" t="s">
        <v>195</v>
      </c>
      <c r="J58" s="9" t="s">
        <v>191</v>
      </c>
      <c r="K58" s="9" t="s">
        <v>192</v>
      </c>
      <c r="L58" s="8">
        <v>23</v>
      </c>
      <c r="M58" s="9" t="s">
        <v>193</v>
      </c>
      <c r="N58" s="9" t="s">
        <v>194</v>
      </c>
    </row>
    <row r="59" spans="1:14" x14ac:dyDescent="0.3">
      <c r="A59" s="9" t="s">
        <v>78</v>
      </c>
      <c r="B59" s="18" t="s">
        <v>186</v>
      </c>
      <c r="C59" s="18" t="s">
        <v>186</v>
      </c>
      <c r="D59" s="9" t="s">
        <v>187</v>
      </c>
      <c r="E59" s="10">
        <v>22.205801999999998</v>
      </c>
      <c r="F59" s="10">
        <v>-100.986081</v>
      </c>
      <c r="G59" s="9" t="s">
        <v>188</v>
      </c>
      <c r="H59" s="18" t="s">
        <v>189</v>
      </c>
      <c r="I59" s="9" t="s">
        <v>195</v>
      </c>
      <c r="J59" s="9" t="s">
        <v>191</v>
      </c>
      <c r="K59" s="9" t="s">
        <v>192</v>
      </c>
      <c r="L59" s="8">
        <v>21</v>
      </c>
      <c r="M59" s="9" t="s">
        <v>193</v>
      </c>
      <c r="N59" s="9" t="s">
        <v>196</v>
      </c>
    </row>
    <row r="60" spans="1:14" x14ac:dyDescent="0.3">
      <c r="A60" s="9" t="s">
        <v>80</v>
      </c>
      <c r="B60" s="18" t="s">
        <v>211</v>
      </c>
      <c r="C60" s="18" t="s">
        <v>199</v>
      </c>
      <c r="D60" s="9" t="s">
        <v>187</v>
      </c>
      <c r="E60" s="10">
        <v>18.988278000000001</v>
      </c>
      <c r="F60" s="10">
        <v>-99.097022999999993</v>
      </c>
      <c r="G60" s="9" t="s">
        <v>188</v>
      </c>
      <c r="H60" s="18" t="s">
        <v>189</v>
      </c>
      <c r="I60" s="9" t="s">
        <v>190</v>
      </c>
      <c r="J60" s="9" t="s">
        <v>191</v>
      </c>
      <c r="K60" s="9" t="s">
        <v>192</v>
      </c>
      <c r="L60" s="8">
        <v>25</v>
      </c>
      <c r="M60" s="9" t="s">
        <v>193</v>
      </c>
      <c r="N60" s="9" t="s">
        <v>194</v>
      </c>
    </row>
    <row r="61" spans="1:14" x14ac:dyDescent="0.3">
      <c r="A61" s="9" t="s">
        <v>81</v>
      </c>
      <c r="B61" s="18" t="s">
        <v>206</v>
      </c>
      <c r="C61" s="18" t="s">
        <v>207</v>
      </c>
      <c r="D61" s="9" t="s">
        <v>187</v>
      </c>
      <c r="E61" s="10">
        <v>23.715237999999999</v>
      </c>
      <c r="F61" s="10">
        <v>-99.158863999999994</v>
      </c>
      <c r="G61" s="9" t="s">
        <v>188</v>
      </c>
      <c r="H61" s="18" t="s">
        <v>203</v>
      </c>
      <c r="I61" s="9" t="s">
        <v>195</v>
      </c>
      <c r="J61" s="9" t="s">
        <v>191</v>
      </c>
      <c r="K61" s="9" t="s">
        <v>192</v>
      </c>
      <c r="L61" s="8">
        <v>21</v>
      </c>
      <c r="M61" s="9" t="s">
        <v>193</v>
      </c>
      <c r="N61" s="9" t="s">
        <v>194</v>
      </c>
    </row>
    <row r="62" spans="1:14" x14ac:dyDescent="0.3">
      <c r="A62" s="9" t="s">
        <v>83</v>
      </c>
      <c r="B62" s="18" t="s">
        <v>186</v>
      </c>
      <c r="C62" s="18" t="s">
        <v>186</v>
      </c>
      <c r="D62" s="9" t="s">
        <v>187</v>
      </c>
      <c r="E62" s="10">
        <v>22.140388000000002</v>
      </c>
      <c r="F62" s="10">
        <v>-100.937321</v>
      </c>
      <c r="G62" s="9" t="s">
        <v>188</v>
      </c>
      <c r="H62" s="18" t="s">
        <v>197</v>
      </c>
      <c r="I62" s="9" t="s">
        <v>202</v>
      </c>
      <c r="J62" s="9" t="s">
        <v>191</v>
      </c>
      <c r="K62" s="9" t="s">
        <v>192</v>
      </c>
      <c r="L62" s="8">
        <v>22</v>
      </c>
      <c r="M62" s="9" t="s">
        <v>200</v>
      </c>
      <c r="N62" s="9" t="s">
        <v>194</v>
      </c>
    </row>
    <row r="63" spans="1:14" x14ac:dyDescent="0.3">
      <c r="A63" s="9" t="s">
        <v>84</v>
      </c>
      <c r="B63" s="18" t="s">
        <v>186</v>
      </c>
      <c r="C63" s="18" t="s">
        <v>186</v>
      </c>
      <c r="D63" s="9" t="s">
        <v>187</v>
      </c>
      <c r="E63" s="10">
        <v>22.195826</v>
      </c>
      <c r="F63" s="10">
        <v>-101.006317</v>
      </c>
      <c r="G63" s="9" t="s">
        <v>188</v>
      </c>
      <c r="H63" s="18" t="s">
        <v>203</v>
      </c>
      <c r="I63" s="9" t="s">
        <v>202</v>
      </c>
      <c r="J63" s="9" t="s">
        <v>191</v>
      </c>
      <c r="K63" s="9" t="s">
        <v>192</v>
      </c>
      <c r="L63" s="8">
        <v>27</v>
      </c>
      <c r="M63" s="9" t="s">
        <v>193</v>
      </c>
      <c r="N63" s="9" t="s">
        <v>194</v>
      </c>
    </row>
    <row r="64" spans="1:14" x14ac:dyDescent="0.3">
      <c r="A64" s="9" t="s">
        <v>85</v>
      </c>
      <c r="B64" s="18" t="s">
        <v>206</v>
      </c>
      <c r="C64" s="18" t="s">
        <v>207</v>
      </c>
      <c r="D64" s="9" t="s">
        <v>187</v>
      </c>
      <c r="E64" s="10">
        <v>23.745096</v>
      </c>
      <c r="F64" s="10">
        <v>-99.164356999999995</v>
      </c>
      <c r="G64" s="9" t="s">
        <v>188</v>
      </c>
      <c r="H64" s="18" t="s">
        <v>203</v>
      </c>
      <c r="I64" s="9" t="s">
        <v>195</v>
      </c>
      <c r="J64" s="9" t="s">
        <v>191</v>
      </c>
      <c r="K64" s="9" t="s">
        <v>192</v>
      </c>
      <c r="L64" s="8">
        <v>24</v>
      </c>
      <c r="M64" s="9" t="s">
        <v>193</v>
      </c>
      <c r="N64" s="9" t="s">
        <v>194</v>
      </c>
    </row>
    <row r="65" spans="1:14" x14ac:dyDescent="0.3">
      <c r="A65" s="9" t="s">
        <v>86</v>
      </c>
      <c r="B65" s="18" t="s">
        <v>186</v>
      </c>
      <c r="C65" s="18" t="s">
        <v>186</v>
      </c>
      <c r="D65" s="9" t="s">
        <v>187</v>
      </c>
      <c r="E65" s="10">
        <v>22.139510999999999</v>
      </c>
      <c r="F65" s="10">
        <v>-100.957002</v>
      </c>
      <c r="G65" s="9" t="s">
        <v>188</v>
      </c>
      <c r="H65" s="18" t="s">
        <v>203</v>
      </c>
      <c r="I65" s="9" t="s">
        <v>195</v>
      </c>
      <c r="J65" s="9" t="s">
        <v>191</v>
      </c>
      <c r="K65" s="9" t="s">
        <v>192</v>
      </c>
      <c r="L65" s="8">
        <v>21</v>
      </c>
      <c r="M65" s="9" t="s">
        <v>193</v>
      </c>
      <c r="N65" s="9" t="s">
        <v>194</v>
      </c>
    </row>
    <row r="66" spans="1:14" x14ac:dyDescent="0.3">
      <c r="A66" s="9" t="s">
        <v>87</v>
      </c>
      <c r="B66" s="18" t="s">
        <v>206</v>
      </c>
      <c r="C66" s="18" t="s">
        <v>207</v>
      </c>
      <c r="D66" s="9" t="s">
        <v>187</v>
      </c>
      <c r="E66" s="10">
        <v>23.733664999999998</v>
      </c>
      <c r="F66" s="10">
        <v>-99.105616999999995</v>
      </c>
      <c r="G66" s="9" t="s">
        <v>188</v>
      </c>
      <c r="H66" s="18" t="s">
        <v>189</v>
      </c>
      <c r="I66" s="9" t="s">
        <v>195</v>
      </c>
      <c r="J66" s="9" t="s">
        <v>191</v>
      </c>
      <c r="K66" s="9" t="s">
        <v>192</v>
      </c>
      <c r="L66" s="8">
        <v>23</v>
      </c>
      <c r="M66" s="9" t="s">
        <v>193</v>
      </c>
      <c r="N66" s="9" t="s">
        <v>194</v>
      </c>
    </row>
    <row r="67" spans="1:14" x14ac:dyDescent="0.3">
      <c r="A67" s="9" t="s">
        <v>88</v>
      </c>
      <c r="B67" s="18" t="s">
        <v>211</v>
      </c>
      <c r="C67" s="18" t="s">
        <v>199</v>
      </c>
      <c r="D67" s="9" t="s">
        <v>187</v>
      </c>
      <c r="E67" s="10">
        <v>18.890695000000001</v>
      </c>
      <c r="F67" s="10">
        <v>-99.157104000000004</v>
      </c>
      <c r="G67" s="9" t="s">
        <v>188</v>
      </c>
      <c r="H67" s="18" t="s">
        <v>189</v>
      </c>
      <c r="I67" s="9" t="s">
        <v>195</v>
      </c>
      <c r="J67" s="9" t="s">
        <v>191</v>
      </c>
      <c r="K67" s="9" t="s">
        <v>192</v>
      </c>
      <c r="L67" s="8">
        <v>26</v>
      </c>
      <c r="M67" s="9" t="s">
        <v>193</v>
      </c>
      <c r="N67" s="9" t="s">
        <v>196</v>
      </c>
    </row>
    <row r="68" spans="1:14" x14ac:dyDescent="0.3">
      <c r="A68" s="9" t="s">
        <v>89</v>
      </c>
      <c r="B68" s="18" t="s">
        <v>206</v>
      </c>
      <c r="C68" s="18" t="s">
        <v>207</v>
      </c>
      <c r="D68" s="9" t="s">
        <v>187</v>
      </c>
      <c r="E68" s="10">
        <v>23.752268999999998</v>
      </c>
      <c r="F68" s="10">
        <v>-99.168604999999999</v>
      </c>
      <c r="G68" s="9" t="s">
        <v>188</v>
      </c>
      <c r="H68" s="18" t="s">
        <v>189</v>
      </c>
      <c r="I68" s="9" t="s">
        <v>195</v>
      </c>
      <c r="J68" s="9" t="s">
        <v>191</v>
      </c>
      <c r="K68" s="9" t="s">
        <v>192</v>
      </c>
      <c r="L68" s="8">
        <v>25</v>
      </c>
      <c r="M68" s="9" t="s">
        <v>193</v>
      </c>
      <c r="N68" s="9" t="s">
        <v>194</v>
      </c>
    </row>
    <row r="69" spans="1:14" x14ac:dyDescent="0.3">
      <c r="A69" s="9" t="s">
        <v>90</v>
      </c>
      <c r="B69" s="18" t="s">
        <v>206</v>
      </c>
      <c r="C69" s="18" t="s">
        <v>207</v>
      </c>
      <c r="D69" s="9" t="s">
        <v>187</v>
      </c>
      <c r="E69" s="10">
        <v>23.752268999999998</v>
      </c>
      <c r="F69" s="10">
        <v>-99.168604999999999</v>
      </c>
      <c r="G69" s="9" t="s">
        <v>188</v>
      </c>
      <c r="H69" s="18" t="s">
        <v>203</v>
      </c>
      <c r="I69" s="9" t="s">
        <v>195</v>
      </c>
      <c r="J69" s="9" t="s">
        <v>191</v>
      </c>
      <c r="K69" s="9" t="s">
        <v>192</v>
      </c>
      <c r="L69" s="8">
        <v>24</v>
      </c>
      <c r="M69" s="9" t="s">
        <v>193</v>
      </c>
      <c r="N69" s="9" t="s">
        <v>196</v>
      </c>
    </row>
    <row r="70" spans="1:14" x14ac:dyDescent="0.3">
      <c r="A70" s="9" t="s">
        <v>91</v>
      </c>
      <c r="B70" s="18" t="s">
        <v>211</v>
      </c>
      <c r="C70" s="18" t="s">
        <v>199</v>
      </c>
      <c r="D70" s="9" t="s">
        <v>187</v>
      </c>
      <c r="E70" s="10">
        <v>19.347640999999999</v>
      </c>
      <c r="F70" s="10">
        <v>-99.130229</v>
      </c>
      <c r="G70" s="9" t="s">
        <v>188</v>
      </c>
      <c r="H70" s="18" t="s">
        <v>197</v>
      </c>
      <c r="I70" s="9" t="s">
        <v>195</v>
      </c>
      <c r="J70" s="9" t="s">
        <v>191</v>
      </c>
      <c r="K70" s="9" t="s">
        <v>192</v>
      </c>
      <c r="L70" s="8">
        <v>29</v>
      </c>
      <c r="M70" s="9" t="s">
        <v>200</v>
      </c>
      <c r="N70" s="9" t="s">
        <v>194</v>
      </c>
    </row>
    <row r="71" spans="1:14" x14ac:dyDescent="0.3">
      <c r="A71" s="9" t="s">
        <v>92</v>
      </c>
      <c r="B71" s="18" t="s">
        <v>206</v>
      </c>
      <c r="C71" s="18" t="s">
        <v>207</v>
      </c>
      <c r="D71" s="9" t="s">
        <v>187</v>
      </c>
      <c r="E71" s="10">
        <v>23.753236999999999</v>
      </c>
      <c r="F71" s="10">
        <v>-99.166867999999994</v>
      </c>
      <c r="G71" s="9" t="s">
        <v>188</v>
      </c>
      <c r="H71" s="18" t="s">
        <v>203</v>
      </c>
      <c r="I71" s="9" t="s">
        <v>195</v>
      </c>
      <c r="J71" s="9" t="s">
        <v>191</v>
      </c>
      <c r="K71" s="9" t="s">
        <v>192</v>
      </c>
      <c r="L71" s="8">
        <v>21</v>
      </c>
      <c r="M71" s="9" t="s">
        <v>193</v>
      </c>
      <c r="N71" s="9" t="s">
        <v>196</v>
      </c>
    </row>
    <row r="72" spans="1:14" x14ac:dyDescent="0.3">
      <c r="A72" s="9" t="s">
        <v>93</v>
      </c>
      <c r="B72" s="18" t="s">
        <v>186</v>
      </c>
      <c r="C72" s="18" t="s">
        <v>186</v>
      </c>
      <c r="D72" s="9" t="s">
        <v>187</v>
      </c>
      <c r="E72" s="10">
        <v>22.154339</v>
      </c>
      <c r="F72" s="10">
        <v>-100.975342</v>
      </c>
      <c r="G72" s="9" t="s">
        <v>188</v>
      </c>
      <c r="H72" s="18" t="s">
        <v>189</v>
      </c>
      <c r="I72" s="9" t="s">
        <v>202</v>
      </c>
      <c r="J72" s="9" t="s">
        <v>191</v>
      </c>
      <c r="K72" s="9" t="s">
        <v>192</v>
      </c>
      <c r="L72" s="8">
        <v>82</v>
      </c>
      <c r="M72" s="9" t="s">
        <v>193</v>
      </c>
      <c r="N72" s="9" t="s">
        <v>210</v>
      </c>
    </row>
    <row r="73" spans="1:14" x14ac:dyDescent="0.3">
      <c r="A73" s="9" t="s">
        <v>94</v>
      </c>
      <c r="B73" s="18" t="s">
        <v>198</v>
      </c>
      <c r="C73" s="18" t="s">
        <v>199</v>
      </c>
      <c r="D73" s="9" t="s">
        <v>187</v>
      </c>
      <c r="E73" s="10">
        <v>18.868259999999999</v>
      </c>
      <c r="F73" s="10">
        <v>-99.212033000000005</v>
      </c>
      <c r="G73" s="9" t="s">
        <v>188</v>
      </c>
      <c r="H73" s="18" t="s">
        <v>203</v>
      </c>
      <c r="I73" s="9" t="s">
        <v>195</v>
      </c>
      <c r="J73" s="9" t="s">
        <v>191</v>
      </c>
      <c r="K73" s="9" t="s">
        <v>192</v>
      </c>
      <c r="L73" s="8">
        <v>28</v>
      </c>
      <c r="M73" s="9" t="s">
        <v>193</v>
      </c>
      <c r="N73" s="9" t="s">
        <v>194</v>
      </c>
    </row>
    <row r="74" spans="1:14" x14ac:dyDescent="0.3">
      <c r="A74" s="9" t="s">
        <v>95</v>
      </c>
      <c r="B74" s="18" t="s">
        <v>186</v>
      </c>
      <c r="C74" s="18" t="s">
        <v>186</v>
      </c>
      <c r="D74" s="9" t="s">
        <v>187</v>
      </c>
      <c r="E74" s="10">
        <v>22.15</v>
      </c>
      <c r="F74" s="10">
        <v>-100.983</v>
      </c>
      <c r="G74" s="9" t="s">
        <v>188</v>
      </c>
      <c r="H74" s="18" t="s">
        <v>189</v>
      </c>
      <c r="I74" s="9" t="s">
        <v>202</v>
      </c>
      <c r="J74" s="9" t="s">
        <v>191</v>
      </c>
      <c r="K74" s="9" t="s">
        <v>205</v>
      </c>
      <c r="L74" s="8">
        <v>23</v>
      </c>
      <c r="M74" s="9" t="s">
        <v>209</v>
      </c>
      <c r="N74" s="9" t="s">
        <v>194</v>
      </c>
    </row>
    <row r="75" spans="1:14" x14ac:dyDescent="0.3">
      <c r="A75" s="9" t="s">
        <v>96</v>
      </c>
      <c r="B75" s="18" t="s">
        <v>198</v>
      </c>
      <c r="C75" s="18" t="s">
        <v>199</v>
      </c>
      <c r="D75" s="9" t="s">
        <v>187</v>
      </c>
      <c r="E75" s="10">
        <v>18.917000000000002</v>
      </c>
      <c r="F75" s="10">
        <v>-99.25</v>
      </c>
      <c r="G75" s="9" t="s">
        <v>201</v>
      </c>
      <c r="H75" s="18" t="s">
        <v>203</v>
      </c>
      <c r="I75" s="9" t="s">
        <v>202</v>
      </c>
      <c r="J75" s="9" t="s">
        <v>191</v>
      </c>
      <c r="K75" s="9" t="s">
        <v>205</v>
      </c>
      <c r="L75" s="8">
        <v>45</v>
      </c>
      <c r="M75" s="9" t="s">
        <v>200</v>
      </c>
      <c r="N75" s="9" t="s">
        <v>194</v>
      </c>
    </row>
    <row r="76" spans="1:14" x14ac:dyDescent="0.3">
      <c r="A76" s="9" t="s">
        <v>98</v>
      </c>
      <c r="B76" s="18" t="s">
        <v>186</v>
      </c>
      <c r="C76" s="18" t="s">
        <v>186</v>
      </c>
      <c r="D76" s="9" t="s">
        <v>187</v>
      </c>
      <c r="E76" s="10">
        <v>22.167574999999999</v>
      </c>
      <c r="F76" s="10">
        <v>-100.960364</v>
      </c>
      <c r="G76" s="9" t="s">
        <v>188</v>
      </c>
      <c r="H76" s="18" t="s">
        <v>203</v>
      </c>
      <c r="I76" s="9" t="s">
        <v>202</v>
      </c>
      <c r="J76" s="9" t="s">
        <v>191</v>
      </c>
      <c r="K76" s="9" t="s">
        <v>192</v>
      </c>
      <c r="L76" s="8">
        <v>21</v>
      </c>
      <c r="M76" s="9" t="s">
        <v>193</v>
      </c>
      <c r="N76" s="9" t="s">
        <v>194</v>
      </c>
    </row>
    <row r="77" spans="1:14" x14ac:dyDescent="0.3">
      <c r="A77" s="9" t="s">
        <v>99</v>
      </c>
      <c r="B77" s="18" t="s">
        <v>186</v>
      </c>
      <c r="C77" s="18" t="s">
        <v>186</v>
      </c>
      <c r="D77" s="9" t="s">
        <v>187</v>
      </c>
      <c r="E77" s="10">
        <v>22.156469000000001</v>
      </c>
      <c r="F77" s="10">
        <v>-100.98554</v>
      </c>
      <c r="G77" s="9" t="s">
        <v>188</v>
      </c>
      <c r="H77" s="18" t="s">
        <v>197</v>
      </c>
      <c r="I77" s="9" t="s">
        <v>195</v>
      </c>
      <c r="J77" s="9" t="s">
        <v>204</v>
      </c>
      <c r="K77" s="9" t="s">
        <v>205</v>
      </c>
      <c r="L77" s="8">
        <v>25</v>
      </c>
      <c r="M77" s="9" t="s">
        <v>193</v>
      </c>
      <c r="N77" s="9" t="s">
        <v>194</v>
      </c>
    </row>
    <row r="78" spans="1:14" x14ac:dyDescent="0.3">
      <c r="A78" s="9" t="s">
        <v>100</v>
      </c>
      <c r="B78" s="18" t="s">
        <v>186</v>
      </c>
      <c r="C78" s="18" t="s">
        <v>186</v>
      </c>
      <c r="D78" s="9" t="s">
        <v>187</v>
      </c>
      <c r="E78" s="10">
        <v>22.156469000000001</v>
      </c>
      <c r="F78" s="10">
        <v>-100.98554</v>
      </c>
      <c r="G78" s="9" t="s">
        <v>188</v>
      </c>
      <c r="H78" s="18" t="s">
        <v>197</v>
      </c>
      <c r="I78" s="9" t="s">
        <v>195</v>
      </c>
      <c r="J78" s="9" t="s">
        <v>204</v>
      </c>
      <c r="K78" s="9" t="s">
        <v>205</v>
      </c>
      <c r="L78" s="8">
        <v>25</v>
      </c>
      <c r="M78" s="9" t="s">
        <v>193</v>
      </c>
      <c r="N78" s="9" t="s">
        <v>194</v>
      </c>
    </row>
    <row r="79" spans="1:14" x14ac:dyDescent="0.3">
      <c r="A79" s="9" t="s">
        <v>101</v>
      </c>
      <c r="B79" s="18" t="s">
        <v>186</v>
      </c>
      <c r="C79" s="18" t="s">
        <v>186</v>
      </c>
      <c r="D79" s="9" t="s">
        <v>187</v>
      </c>
      <c r="E79" s="10">
        <v>22.172108999999999</v>
      </c>
      <c r="F79" s="10">
        <v>-100.963199</v>
      </c>
      <c r="G79" s="9" t="s">
        <v>201</v>
      </c>
      <c r="H79" s="18" t="s">
        <v>197</v>
      </c>
      <c r="I79" s="9" t="s">
        <v>202</v>
      </c>
      <c r="J79" s="9" t="s">
        <v>191</v>
      </c>
      <c r="K79" s="9" t="s">
        <v>192</v>
      </c>
      <c r="L79" s="8">
        <v>29</v>
      </c>
      <c r="M79" s="9" t="s">
        <v>200</v>
      </c>
      <c r="N79" s="9" t="s">
        <v>194</v>
      </c>
    </row>
    <row r="80" spans="1:14" x14ac:dyDescent="0.3">
      <c r="A80" s="9" t="s">
        <v>102</v>
      </c>
      <c r="B80" s="18" t="s">
        <v>198</v>
      </c>
      <c r="C80" s="18" t="s">
        <v>199</v>
      </c>
      <c r="D80" s="9" t="s">
        <v>187</v>
      </c>
      <c r="E80" s="10">
        <v>18.917000000000002</v>
      </c>
      <c r="F80" s="10">
        <v>-99.25</v>
      </c>
      <c r="G80" s="9" t="s">
        <v>188</v>
      </c>
      <c r="H80" s="18" t="s">
        <v>189</v>
      </c>
      <c r="I80" s="9" t="s">
        <v>195</v>
      </c>
      <c r="J80" s="9" t="s">
        <v>191</v>
      </c>
      <c r="K80" s="9" t="s">
        <v>192</v>
      </c>
      <c r="L80" s="8">
        <v>20</v>
      </c>
      <c r="M80" s="9" t="s">
        <v>193</v>
      </c>
      <c r="N80" s="9" t="s">
        <v>194</v>
      </c>
    </row>
    <row r="81" spans="1:14" x14ac:dyDescent="0.3">
      <c r="A81" s="9" t="s">
        <v>103</v>
      </c>
      <c r="B81" s="18" t="s">
        <v>206</v>
      </c>
      <c r="C81" s="18" t="s">
        <v>207</v>
      </c>
      <c r="D81" s="9" t="s">
        <v>187</v>
      </c>
      <c r="E81" s="10">
        <v>23.743793</v>
      </c>
      <c r="F81" s="10">
        <v>-99.163397000000003</v>
      </c>
      <c r="G81" s="9" t="s">
        <v>201</v>
      </c>
      <c r="H81" s="18" t="s">
        <v>197</v>
      </c>
      <c r="I81" s="9" t="s">
        <v>202</v>
      </c>
      <c r="J81" s="9" t="s">
        <v>191</v>
      </c>
      <c r="K81" s="9" t="s">
        <v>192</v>
      </c>
      <c r="L81" s="8">
        <v>25</v>
      </c>
      <c r="M81" s="9" t="s">
        <v>193</v>
      </c>
      <c r="N81" s="9" t="s">
        <v>196</v>
      </c>
    </row>
    <row r="82" spans="1:14" x14ac:dyDescent="0.3">
      <c r="A82" s="9" t="s">
        <v>104</v>
      </c>
      <c r="B82" s="18" t="s">
        <v>186</v>
      </c>
      <c r="C82" s="18" t="s">
        <v>186</v>
      </c>
      <c r="D82" s="9" t="s">
        <v>187</v>
      </c>
      <c r="E82" s="10">
        <v>22.207749</v>
      </c>
      <c r="F82" s="10">
        <v>-100.94238300000001</v>
      </c>
      <c r="G82" s="9" t="s">
        <v>188</v>
      </c>
      <c r="H82" s="18" t="s">
        <v>203</v>
      </c>
      <c r="I82" s="9" t="s">
        <v>195</v>
      </c>
      <c r="J82" s="9" t="s">
        <v>191</v>
      </c>
      <c r="K82" s="9" t="s">
        <v>192</v>
      </c>
      <c r="L82" s="8">
        <v>21</v>
      </c>
      <c r="M82" s="9" t="s">
        <v>193</v>
      </c>
      <c r="N82" s="9" t="s">
        <v>196</v>
      </c>
    </row>
    <row r="83" spans="1:14" x14ac:dyDescent="0.3">
      <c r="A83" s="9" t="s">
        <v>105</v>
      </c>
      <c r="B83" s="18" t="s">
        <v>206</v>
      </c>
      <c r="C83" s="18" t="s">
        <v>207</v>
      </c>
      <c r="D83" s="9" t="s">
        <v>187</v>
      </c>
      <c r="E83" s="10">
        <v>23.753060999999999</v>
      </c>
      <c r="F83" s="10">
        <v>-99.166094999999999</v>
      </c>
      <c r="G83" s="9" t="s">
        <v>201</v>
      </c>
      <c r="H83" s="18" t="s">
        <v>189</v>
      </c>
      <c r="I83" s="9" t="s">
        <v>195</v>
      </c>
      <c r="J83" s="9" t="s">
        <v>191</v>
      </c>
      <c r="K83" s="9" t="s">
        <v>192</v>
      </c>
      <c r="L83" s="8">
        <v>23</v>
      </c>
      <c r="M83" s="9" t="s">
        <v>193</v>
      </c>
      <c r="N83" s="9" t="s">
        <v>194</v>
      </c>
    </row>
    <row r="84" spans="1:14" x14ac:dyDescent="0.3">
      <c r="A84" s="9" t="s">
        <v>106</v>
      </c>
      <c r="B84" s="18" t="s">
        <v>186</v>
      </c>
      <c r="C84" s="18" t="s">
        <v>186</v>
      </c>
      <c r="D84" s="9" t="s">
        <v>187</v>
      </c>
      <c r="E84" s="10">
        <v>22.13392</v>
      </c>
      <c r="F84" s="10">
        <v>-101.028373</v>
      </c>
      <c r="G84" s="9" t="s">
        <v>188</v>
      </c>
      <c r="H84" s="18" t="s">
        <v>189</v>
      </c>
      <c r="I84" s="9" t="s">
        <v>195</v>
      </c>
      <c r="J84" s="9" t="s">
        <v>191</v>
      </c>
      <c r="K84" s="9" t="s">
        <v>192</v>
      </c>
      <c r="L84" s="8">
        <v>31</v>
      </c>
      <c r="M84" s="9" t="s">
        <v>193</v>
      </c>
      <c r="N84" s="9" t="s">
        <v>194</v>
      </c>
    </row>
    <row r="85" spans="1:14" x14ac:dyDescent="0.3">
      <c r="A85" s="9" t="s">
        <v>107</v>
      </c>
      <c r="B85" s="18" t="s">
        <v>186</v>
      </c>
      <c r="C85" s="18" t="s">
        <v>186</v>
      </c>
      <c r="D85" s="9" t="s">
        <v>187</v>
      </c>
      <c r="E85" s="10">
        <v>22.172523999999999</v>
      </c>
      <c r="F85" s="10">
        <v>-101.005758</v>
      </c>
      <c r="G85" s="9" t="s">
        <v>201</v>
      </c>
      <c r="H85" s="18" t="s">
        <v>203</v>
      </c>
      <c r="I85" s="9" t="s">
        <v>195</v>
      </c>
      <c r="J85" s="9" t="s">
        <v>191</v>
      </c>
      <c r="K85" s="9" t="s">
        <v>192</v>
      </c>
      <c r="L85" s="8">
        <v>21</v>
      </c>
      <c r="M85" s="9" t="s">
        <v>193</v>
      </c>
      <c r="N85" s="9" t="s">
        <v>194</v>
      </c>
    </row>
    <row r="86" spans="1:14" x14ac:dyDescent="0.3">
      <c r="A86" s="9" t="s">
        <v>108</v>
      </c>
      <c r="B86" s="18" t="s">
        <v>186</v>
      </c>
      <c r="C86" s="18" t="s">
        <v>186</v>
      </c>
      <c r="D86" s="9" t="s">
        <v>187</v>
      </c>
      <c r="E86" s="10">
        <v>22.196787</v>
      </c>
      <c r="F86" s="10">
        <v>-100.936335</v>
      </c>
      <c r="G86" s="9" t="s">
        <v>188</v>
      </c>
      <c r="H86" s="18" t="s">
        <v>189</v>
      </c>
      <c r="I86" s="9" t="s">
        <v>202</v>
      </c>
      <c r="J86" s="9" t="s">
        <v>191</v>
      </c>
      <c r="K86" s="9" t="s">
        <v>192</v>
      </c>
      <c r="L86" s="8">
        <v>24</v>
      </c>
      <c r="M86" s="9" t="s">
        <v>193</v>
      </c>
      <c r="N86" s="9" t="s">
        <v>194</v>
      </c>
    </row>
    <row r="87" spans="1:14" x14ac:dyDescent="0.3">
      <c r="A87" s="9" t="s">
        <v>109</v>
      </c>
      <c r="B87" s="18" t="s">
        <v>186</v>
      </c>
      <c r="C87" s="18" t="s">
        <v>186</v>
      </c>
      <c r="D87" s="9" t="s">
        <v>187</v>
      </c>
      <c r="E87" s="10">
        <v>22.157281000000001</v>
      </c>
      <c r="F87" s="10">
        <v>-100.98444000000001</v>
      </c>
      <c r="G87" s="9" t="s">
        <v>188</v>
      </c>
      <c r="H87" s="18" t="s">
        <v>197</v>
      </c>
      <c r="I87" s="9" t="s">
        <v>202</v>
      </c>
      <c r="J87" s="9" t="s">
        <v>191</v>
      </c>
      <c r="K87" s="9" t="s">
        <v>192</v>
      </c>
      <c r="L87" s="8">
        <v>21</v>
      </c>
      <c r="M87" s="9" t="s">
        <v>193</v>
      </c>
      <c r="N87" s="9" t="s">
        <v>194</v>
      </c>
    </row>
    <row r="88" spans="1:14" x14ac:dyDescent="0.3">
      <c r="A88" s="9" t="s">
        <v>110</v>
      </c>
      <c r="B88" s="18" t="s">
        <v>206</v>
      </c>
      <c r="C88" s="18" t="s">
        <v>207</v>
      </c>
      <c r="D88" s="9" t="s">
        <v>187</v>
      </c>
      <c r="E88" s="10">
        <v>23.753336000000001</v>
      </c>
      <c r="F88" s="10">
        <v>-99.167984000000004</v>
      </c>
      <c r="G88" s="9" t="s">
        <v>188</v>
      </c>
      <c r="H88" s="18" t="s">
        <v>189</v>
      </c>
      <c r="I88" s="9" t="s">
        <v>195</v>
      </c>
      <c r="J88" s="9" t="s">
        <v>191</v>
      </c>
      <c r="K88" s="9" t="s">
        <v>192</v>
      </c>
      <c r="L88" s="8">
        <v>23</v>
      </c>
      <c r="M88" s="9" t="s">
        <v>193</v>
      </c>
      <c r="N88" s="9" t="s">
        <v>194</v>
      </c>
    </row>
    <row r="89" spans="1:14" x14ac:dyDescent="0.3">
      <c r="A89" s="9" t="s">
        <v>111</v>
      </c>
      <c r="B89" s="18" t="s">
        <v>186</v>
      </c>
      <c r="C89" s="18" t="s">
        <v>186</v>
      </c>
      <c r="D89" s="9" t="s">
        <v>187</v>
      </c>
      <c r="E89" s="10">
        <v>22.142748000000001</v>
      </c>
      <c r="F89" s="10">
        <v>-100.940664</v>
      </c>
      <c r="G89" s="9" t="s">
        <v>188</v>
      </c>
      <c r="H89" s="18" t="s">
        <v>197</v>
      </c>
      <c r="I89" s="9" t="s">
        <v>190</v>
      </c>
      <c r="J89" s="9" t="s">
        <v>191</v>
      </c>
      <c r="K89" s="9" t="s">
        <v>192</v>
      </c>
      <c r="L89" s="8">
        <v>21</v>
      </c>
      <c r="M89" s="9" t="s">
        <v>193</v>
      </c>
      <c r="N89" s="9" t="s">
        <v>194</v>
      </c>
    </row>
    <row r="90" spans="1:14" x14ac:dyDescent="0.3">
      <c r="A90" s="9" t="s">
        <v>112</v>
      </c>
      <c r="B90" s="18" t="s">
        <v>186</v>
      </c>
      <c r="C90" s="18" t="s">
        <v>186</v>
      </c>
      <c r="D90" s="9" t="s">
        <v>187</v>
      </c>
      <c r="E90" s="10">
        <v>22.162562000000001</v>
      </c>
      <c r="F90" s="10">
        <v>-100.99312999999999</v>
      </c>
      <c r="G90" s="9" t="s">
        <v>201</v>
      </c>
      <c r="H90" s="18" t="s">
        <v>203</v>
      </c>
      <c r="I90" s="9" t="s">
        <v>195</v>
      </c>
      <c r="J90" s="9" t="s">
        <v>191</v>
      </c>
      <c r="K90" s="9" t="s">
        <v>192</v>
      </c>
      <c r="L90" s="8">
        <v>22</v>
      </c>
      <c r="M90" s="9" t="s">
        <v>193</v>
      </c>
      <c r="N90" s="9" t="s">
        <v>196</v>
      </c>
    </row>
    <row r="91" spans="1:14" x14ac:dyDescent="0.3">
      <c r="A91" s="9" t="s">
        <v>113</v>
      </c>
      <c r="B91" s="18" t="s">
        <v>186</v>
      </c>
      <c r="C91" s="18" t="s">
        <v>186</v>
      </c>
      <c r="D91" s="9" t="s">
        <v>187</v>
      </c>
      <c r="E91" s="10">
        <v>22.158473000000001</v>
      </c>
      <c r="F91" s="10">
        <v>-100.984268</v>
      </c>
      <c r="G91" s="9" t="s">
        <v>188</v>
      </c>
      <c r="H91" s="18" t="s">
        <v>197</v>
      </c>
      <c r="I91" s="9" t="s">
        <v>202</v>
      </c>
      <c r="J91" s="9" t="s">
        <v>191</v>
      </c>
      <c r="K91" s="9" t="s">
        <v>192</v>
      </c>
      <c r="L91" s="8">
        <v>24</v>
      </c>
      <c r="M91" s="9" t="s">
        <v>193</v>
      </c>
      <c r="N91" s="9" t="s">
        <v>194</v>
      </c>
    </row>
    <row r="92" spans="1:14" x14ac:dyDescent="0.3">
      <c r="A92" s="9" t="s">
        <v>114</v>
      </c>
      <c r="B92" s="18" t="s">
        <v>186</v>
      </c>
      <c r="C92" s="18" t="s">
        <v>186</v>
      </c>
      <c r="D92" s="9" t="s">
        <v>187</v>
      </c>
      <c r="E92" s="10">
        <v>22.154677</v>
      </c>
      <c r="F92" s="10">
        <v>-100.94901299999999</v>
      </c>
      <c r="G92" s="9" t="s">
        <v>188</v>
      </c>
      <c r="H92" s="18" t="s">
        <v>203</v>
      </c>
      <c r="I92" s="9" t="s">
        <v>202</v>
      </c>
      <c r="J92" s="9" t="s">
        <v>191</v>
      </c>
      <c r="K92" s="9" t="s">
        <v>192</v>
      </c>
      <c r="L92" s="8">
        <v>23</v>
      </c>
      <c r="M92" s="9" t="s">
        <v>193</v>
      </c>
      <c r="N92" s="9" t="s">
        <v>196</v>
      </c>
    </row>
    <row r="93" spans="1:14" x14ac:dyDescent="0.3">
      <c r="A93" s="9" t="s">
        <v>115</v>
      </c>
      <c r="B93" s="18" t="s">
        <v>186</v>
      </c>
      <c r="C93" s="18" t="s">
        <v>186</v>
      </c>
      <c r="D93" s="9" t="s">
        <v>187</v>
      </c>
      <c r="E93" s="10">
        <v>22.125364999999999</v>
      </c>
      <c r="F93" s="10">
        <v>-100.94788800000001</v>
      </c>
      <c r="G93" s="9" t="s">
        <v>188</v>
      </c>
      <c r="H93" s="18" t="s">
        <v>189</v>
      </c>
      <c r="I93" s="9" t="s">
        <v>195</v>
      </c>
      <c r="J93" s="9" t="s">
        <v>191</v>
      </c>
      <c r="K93" s="9" t="s">
        <v>208</v>
      </c>
      <c r="L93" s="8">
        <v>22</v>
      </c>
      <c r="M93" s="9" t="s">
        <v>193</v>
      </c>
      <c r="N93" s="9" t="s">
        <v>194</v>
      </c>
    </row>
    <row r="94" spans="1:14" x14ac:dyDescent="0.3">
      <c r="A94" s="9" t="s">
        <v>117</v>
      </c>
      <c r="B94" s="18" t="s">
        <v>198</v>
      </c>
      <c r="C94" s="18" t="s">
        <v>199</v>
      </c>
      <c r="D94" s="9" t="s">
        <v>187</v>
      </c>
      <c r="E94" s="10">
        <v>18.871653999999999</v>
      </c>
      <c r="F94" s="10">
        <v>-99.183250999999998</v>
      </c>
      <c r="G94" s="9" t="s">
        <v>201</v>
      </c>
      <c r="H94" s="18" t="s">
        <v>203</v>
      </c>
      <c r="I94" s="9" t="s">
        <v>202</v>
      </c>
      <c r="J94" s="9" t="s">
        <v>191</v>
      </c>
      <c r="K94" s="9" t="s">
        <v>192</v>
      </c>
      <c r="L94" s="8">
        <v>22</v>
      </c>
      <c r="M94" s="9" t="s">
        <v>193</v>
      </c>
      <c r="N94" s="9" t="s">
        <v>194</v>
      </c>
    </row>
    <row r="95" spans="1:14" x14ac:dyDescent="0.3">
      <c r="A95" s="9" t="s">
        <v>118</v>
      </c>
      <c r="B95" s="18" t="s">
        <v>206</v>
      </c>
      <c r="C95" s="18" t="s">
        <v>207</v>
      </c>
      <c r="D95" s="9" t="s">
        <v>187</v>
      </c>
      <c r="E95" s="10">
        <v>23.739439999999998</v>
      </c>
      <c r="F95" s="10">
        <v>-99.160548000000006</v>
      </c>
      <c r="G95" s="9" t="s">
        <v>188</v>
      </c>
      <c r="H95" s="18" t="s">
        <v>189</v>
      </c>
      <c r="I95" s="9" t="s">
        <v>195</v>
      </c>
      <c r="J95" s="9" t="s">
        <v>191</v>
      </c>
      <c r="K95" s="9" t="s">
        <v>192</v>
      </c>
      <c r="L95" s="8">
        <v>21</v>
      </c>
      <c r="M95" s="9" t="s">
        <v>193</v>
      </c>
      <c r="N95" s="9" t="s">
        <v>194</v>
      </c>
    </row>
    <row r="96" spans="1:14" x14ac:dyDescent="0.3">
      <c r="A96" s="9" t="s">
        <v>119</v>
      </c>
      <c r="B96" s="18" t="s">
        <v>186</v>
      </c>
      <c r="C96" s="18" t="s">
        <v>186</v>
      </c>
      <c r="D96" s="9" t="s">
        <v>187</v>
      </c>
      <c r="E96" s="10">
        <v>22.179864999999999</v>
      </c>
      <c r="F96" s="10">
        <v>-101.018547</v>
      </c>
      <c r="G96" s="9" t="s">
        <v>188</v>
      </c>
      <c r="H96" s="18" t="s">
        <v>189</v>
      </c>
      <c r="I96" s="9" t="s">
        <v>195</v>
      </c>
      <c r="J96" s="9" t="s">
        <v>204</v>
      </c>
      <c r="K96" s="9" t="s">
        <v>192</v>
      </c>
      <c r="L96" s="8">
        <v>26</v>
      </c>
      <c r="M96" s="9" t="s">
        <v>193</v>
      </c>
      <c r="N96" s="9" t="s">
        <v>194</v>
      </c>
    </row>
    <row r="97" spans="1:14" x14ac:dyDescent="0.3">
      <c r="A97" s="9" t="s">
        <v>120</v>
      </c>
      <c r="B97" s="18" t="s">
        <v>186</v>
      </c>
      <c r="C97" s="18" t="s">
        <v>186</v>
      </c>
      <c r="D97" s="9" t="s">
        <v>187</v>
      </c>
      <c r="E97" s="10">
        <v>22.145499999999998</v>
      </c>
      <c r="F97" s="10">
        <v>-100.939593</v>
      </c>
      <c r="G97" s="9" t="s">
        <v>188</v>
      </c>
      <c r="H97" s="18" t="s">
        <v>189</v>
      </c>
      <c r="I97" s="9" t="s">
        <v>195</v>
      </c>
      <c r="J97" s="9" t="s">
        <v>191</v>
      </c>
      <c r="K97" s="9" t="s">
        <v>192</v>
      </c>
      <c r="L97" s="8">
        <v>22</v>
      </c>
      <c r="M97" s="9" t="s">
        <v>193</v>
      </c>
      <c r="N97" s="9" t="s">
        <v>194</v>
      </c>
    </row>
    <row r="98" spans="1:14" x14ac:dyDescent="0.3">
      <c r="A98" s="9" t="s">
        <v>121</v>
      </c>
      <c r="B98" s="18" t="s">
        <v>186</v>
      </c>
      <c r="C98" s="18" t="s">
        <v>186</v>
      </c>
      <c r="D98" s="9" t="s">
        <v>187</v>
      </c>
      <c r="E98" s="10">
        <v>22.145471000000001</v>
      </c>
      <c r="F98" s="10">
        <v>-100.939588</v>
      </c>
      <c r="G98" s="9" t="s">
        <v>188</v>
      </c>
      <c r="H98" s="18" t="s">
        <v>189</v>
      </c>
      <c r="I98" s="9" t="s">
        <v>195</v>
      </c>
      <c r="J98" s="9" t="s">
        <v>191</v>
      </c>
      <c r="K98" s="9" t="s">
        <v>192</v>
      </c>
      <c r="L98" s="8">
        <v>22</v>
      </c>
      <c r="M98" s="9" t="s">
        <v>193</v>
      </c>
      <c r="N98" s="9" t="s">
        <v>194</v>
      </c>
    </row>
    <row r="99" spans="1:14" x14ac:dyDescent="0.3">
      <c r="A99" s="9" t="s">
        <v>122</v>
      </c>
      <c r="B99" s="18" t="s">
        <v>186</v>
      </c>
      <c r="C99" s="18" t="s">
        <v>186</v>
      </c>
      <c r="D99" s="9" t="s">
        <v>187</v>
      </c>
      <c r="E99" s="10">
        <v>22.182570999999999</v>
      </c>
      <c r="F99" s="10">
        <v>-100.963232</v>
      </c>
      <c r="G99" s="9" t="s">
        <v>188</v>
      </c>
      <c r="H99" s="18" t="s">
        <v>197</v>
      </c>
      <c r="I99" s="9" t="s">
        <v>195</v>
      </c>
      <c r="J99" s="9" t="s">
        <v>191</v>
      </c>
      <c r="K99" s="9" t="s">
        <v>192</v>
      </c>
      <c r="L99" s="8">
        <v>21</v>
      </c>
      <c r="M99" s="9" t="s">
        <v>193</v>
      </c>
      <c r="N99" s="9" t="s">
        <v>194</v>
      </c>
    </row>
    <row r="100" spans="1:14" x14ac:dyDescent="0.3">
      <c r="A100" s="9" t="s">
        <v>123</v>
      </c>
      <c r="B100" s="18" t="s">
        <v>186</v>
      </c>
      <c r="C100" s="18" t="s">
        <v>186</v>
      </c>
      <c r="D100" s="9" t="s">
        <v>187</v>
      </c>
      <c r="E100" s="10">
        <v>22.184861999999999</v>
      </c>
      <c r="F100" s="10">
        <v>-100.970535</v>
      </c>
      <c r="G100" s="9" t="s">
        <v>201</v>
      </c>
      <c r="H100" s="18" t="s">
        <v>197</v>
      </c>
      <c r="I100" s="9" t="s">
        <v>195</v>
      </c>
      <c r="J100" s="9" t="s">
        <v>191</v>
      </c>
      <c r="K100" s="9" t="s">
        <v>192</v>
      </c>
      <c r="L100" s="8">
        <v>23</v>
      </c>
      <c r="M100" s="9" t="s">
        <v>193</v>
      </c>
      <c r="N100" s="9" t="s">
        <v>210</v>
      </c>
    </row>
    <row r="101" spans="1:14" x14ac:dyDescent="0.3">
      <c r="A101" s="9" t="s">
        <v>124</v>
      </c>
      <c r="B101" s="18" t="s">
        <v>211</v>
      </c>
      <c r="C101" s="18" t="s">
        <v>199</v>
      </c>
      <c r="D101" s="9" t="s">
        <v>187</v>
      </c>
      <c r="E101" s="10">
        <v>18.879729000000001</v>
      </c>
      <c r="F101" s="10">
        <v>-99.067105999999995</v>
      </c>
      <c r="G101" s="9" t="s">
        <v>188</v>
      </c>
      <c r="H101" s="18" t="s">
        <v>203</v>
      </c>
      <c r="I101" s="9" t="s">
        <v>195</v>
      </c>
      <c r="J101" s="9" t="s">
        <v>191</v>
      </c>
      <c r="K101" s="9" t="s">
        <v>192</v>
      </c>
      <c r="L101" s="8">
        <v>22</v>
      </c>
      <c r="M101" s="9" t="s">
        <v>193</v>
      </c>
      <c r="N101" s="9" t="s">
        <v>194</v>
      </c>
    </row>
    <row r="102" spans="1:14" x14ac:dyDescent="0.3">
      <c r="A102" s="9" t="s">
        <v>125</v>
      </c>
      <c r="B102" s="18" t="s">
        <v>186</v>
      </c>
      <c r="C102" s="18" t="s">
        <v>186</v>
      </c>
      <c r="D102" s="9" t="s">
        <v>187</v>
      </c>
      <c r="E102" s="10">
        <v>22.150891000000001</v>
      </c>
      <c r="F102" s="10">
        <v>-100.974891</v>
      </c>
      <c r="G102" s="9" t="s">
        <v>188</v>
      </c>
      <c r="H102" s="18" t="s">
        <v>203</v>
      </c>
      <c r="I102" s="9" t="s">
        <v>202</v>
      </c>
      <c r="J102" s="9" t="s">
        <v>191</v>
      </c>
      <c r="K102" s="9" t="s">
        <v>192</v>
      </c>
      <c r="L102" s="8">
        <v>24</v>
      </c>
      <c r="M102" s="9" t="s">
        <v>193</v>
      </c>
      <c r="N102" s="9" t="s">
        <v>196</v>
      </c>
    </row>
    <row r="103" spans="1:14" x14ac:dyDescent="0.3">
      <c r="A103" s="9" t="s">
        <v>126</v>
      </c>
      <c r="B103" s="18" t="s">
        <v>186</v>
      </c>
      <c r="C103" s="18" t="s">
        <v>186</v>
      </c>
      <c r="D103" s="9" t="s">
        <v>187</v>
      </c>
      <c r="E103" s="10">
        <v>22.137131</v>
      </c>
      <c r="F103" s="10">
        <v>-100.941151</v>
      </c>
      <c r="G103" s="9" t="s">
        <v>188</v>
      </c>
      <c r="H103" s="18" t="s">
        <v>197</v>
      </c>
      <c r="I103" s="9" t="s">
        <v>190</v>
      </c>
      <c r="J103" s="9" t="s">
        <v>191</v>
      </c>
      <c r="K103" s="9" t="s">
        <v>192</v>
      </c>
      <c r="L103" s="8">
        <v>23</v>
      </c>
      <c r="M103" s="9" t="s">
        <v>193</v>
      </c>
      <c r="N103" s="9" t="s">
        <v>196</v>
      </c>
    </row>
    <row r="104" spans="1:14" x14ac:dyDescent="0.3">
      <c r="A104" s="9" t="s">
        <v>127</v>
      </c>
      <c r="B104" s="18" t="s">
        <v>206</v>
      </c>
      <c r="C104" s="18" t="s">
        <v>207</v>
      </c>
      <c r="D104" s="9" t="s">
        <v>187</v>
      </c>
      <c r="E104" s="10">
        <v>23.752265000000001</v>
      </c>
      <c r="F104" s="10">
        <v>-99.168589999999995</v>
      </c>
      <c r="G104" s="9" t="s">
        <v>188</v>
      </c>
      <c r="H104" s="18" t="s">
        <v>189</v>
      </c>
      <c r="I104" s="9" t="s">
        <v>195</v>
      </c>
      <c r="J104" s="9" t="s">
        <v>191</v>
      </c>
      <c r="K104" s="9" t="s">
        <v>192</v>
      </c>
      <c r="L104" s="8">
        <v>23</v>
      </c>
      <c r="M104" s="9" t="s">
        <v>200</v>
      </c>
      <c r="N104" s="9" t="s">
        <v>194</v>
      </c>
    </row>
    <row r="105" spans="1:14" x14ac:dyDescent="0.3">
      <c r="A105" s="9" t="s">
        <v>128</v>
      </c>
      <c r="B105" s="18" t="s">
        <v>186</v>
      </c>
      <c r="C105" s="18" t="s">
        <v>186</v>
      </c>
      <c r="D105" s="9" t="s">
        <v>187</v>
      </c>
      <c r="E105" s="10">
        <v>22.149004999999999</v>
      </c>
      <c r="F105" s="10">
        <v>-100.97815300000001</v>
      </c>
      <c r="G105" s="9" t="s">
        <v>201</v>
      </c>
      <c r="H105" s="18" t="s">
        <v>197</v>
      </c>
      <c r="I105" s="9" t="s">
        <v>202</v>
      </c>
      <c r="J105" s="9" t="s">
        <v>191</v>
      </c>
      <c r="K105" s="9" t="s">
        <v>192</v>
      </c>
      <c r="L105" s="8">
        <v>21</v>
      </c>
      <c r="M105" s="9" t="s">
        <v>193</v>
      </c>
      <c r="N105" s="9" t="s">
        <v>194</v>
      </c>
    </row>
    <row r="106" spans="1:14" x14ac:dyDescent="0.3">
      <c r="A106" s="9" t="s">
        <v>129</v>
      </c>
      <c r="B106" s="18" t="s">
        <v>186</v>
      </c>
      <c r="C106" s="18" t="s">
        <v>186</v>
      </c>
      <c r="D106" s="9" t="s">
        <v>187</v>
      </c>
      <c r="E106" s="10">
        <v>22.120018999999999</v>
      </c>
      <c r="F106" s="10">
        <v>-100.950991</v>
      </c>
      <c r="G106" s="9" t="s">
        <v>188</v>
      </c>
      <c r="H106" s="18" t="s">
        <v>197</v>
      </c>
      <c r="I106" s="9" t="s">
        <v>195</v>
      </c>
      <c r="J106" s="9" t="s">
        <v>191</v>
      </c>
      <c r="K106" s="9" t="s">
        <v>192</v>
      </c>
      <c r="L106" s="8">
        <v>21</v>
      </c>
      <c r="M106" s="9" t="s">
        <v>193</v>
      </c>
      <c r="N106" s="9" t="s">
        <v>194</v>
      </c>
    </row>
    <row r="107" spans="1:14" x14ac:dyDescent="0.3">
      <c r="A107" s="9" t="s">
        <v>130</v>
      </c>
      <c r="B107" s="18" t="s">
        <v>198</v>
      </c>
      <c r="C107" s="18" t="s">
        <v>199</v>
      </c>
      <c r="D107" s="9" t="s">
        <v>187</v>
      </c>
      <c r="E107" s="10">
        <v>18.927071999999999</v>
      </c>
      <c r="F107" s="10">
        <v>-99.173584000000005</v>
      </c>
      <c r="G107" s="9" t="s">
        <v>188</v>
      </c>
      <c r="H107" s="18" t="s">
        <v>203</v>
      </c>
      <c r="I107" s="9" t="s">
        <v>202</v>
      </c>
      <c r="J107" s="9" t="s">
        <v>191</v>
      </c>
      <c r="K107" s="9" t="s">
        <v>192</v>
      </c>
      <c r="L107" s="8">
        <v>82</v>
      </c>
      <c r="M107" s="9" t="s">
        <v>200</v>
      </c>
      <c r="N107" s="9" t="s">
        <v>194</v>
      </c>
    </row>
    <row r="108" spans="1:14" x14ac:dyDescent="0.3">
      <c r="A108" s="9" t="s">
        <v>131</v>
      </c>
      <c r="B108" s="18" t="s">
        <v>206</v>
      </c>
      <c r="C108" s="18" t="s">
        <v>207</v>
      </c>
      <c r="D108" s="9" t="s">
        <v>187</v>
      </c>
      <c r="E108" s="10">
        <v>23.742408999999999</v>
      </c>
      <c r="F108" s="10">
        <v>-99.171888999999993</v>
      </c>
      <c r="G108" s="9" t="s">
        <v>188</v>
      </c>
      <c r="H108" s="18" t="s">
        <v>189</v>
      </c>
      <c r="I108" s="9" t="s">
        <v>202</v>
      </c>
      <c r="J108" s="9" t="s">
        <v>191</v>
      </c>
      <c r="K108" s="9" t="s">
        <v>192</v>
      </c>
      <c r="L108" s="8">
        <v>23</v>
      </c>
      <c r="M108" s="9" t="s">
        <v>193</v>
      </c>
      <c r="N108" s="9" t="s">
        <v>210</v>
      </c>
    </row>
    <row r="109" spans="1:14" x14ac:dyDescent="0.3">
      <c r="A109" s="9" t="s">
        <v>132</v>
      </c>
      <c r="B109" s="18" t="s">
        <v>186</v>
      </c>
      <c r="C109" s="18" t="s">
        <v>186</v>
      </c>
      <c r="D109" s="9" t="s">
        <v>187</v>
      </c>
      <c r="E109" s="10">
        <v>22.143523999999999</v>
      </c>
      <c r="F109" s="10">
        <v>-100.987562</v>
      </c>
      <c r="G109" s="9" t="s">
        <v>188</v>
      </c>
      <c r="H109" s="18" t="s">
        <v>189</v>
      </c>
      <c r="I109" s="9" t="s">
        <v>195</v>
      </c>
      <c r="J109" s="9" t="s">
        <v>191</v>
      </c>
      <c r="K109" s="9" t="s">
        <v>192</v>
      </c>
      <c r="L109" s="8">
        <v>29</v>
      </c>
      <c r="M109" s="9" t="s">
        <v>193</v>
      </c>
      <c r="N109" s="9" t="s">
        <v>194</v>
      </c>
    </row>
    <row r="110" spans="1:14" x14ac:dyDescent="0.3">
      <c r="A110" s="9" t="s">
        <v>134</v>
      </c>
      <c r="B110" s="18" t="s">
        <v>186</v>
      </c>
      <c r="C110" s="18" t="s">
        <v>186</v>
      </c>
      <c r="D110" s="9" t="s">
        <v>187</v>
      </c>
      <c r="E110" s="10">
        <v>22.303308000000001</v>
      </c>
      <c r="F110" s="10">
        <v>-101.05468</v>
      </c>
      <c r="G110" s="9" t="s">
        <v>188</v>
      </c>
      <c r="H110" s="18" t="s">
        <v>189</v>
      </c>
      <c r="I110" s="9" t="s">
        <v>195</v>
      </c>
      <c r="J110" s="9" t="s">
        <v>191</v>
      </c>
      <c r="K110" s="9" t="s">
        <v>192</v>
      </c>
      <c r="L110" s="8">
        <v>23</v>
      </c>
      <c r="M110" s="9" t="s">
        <v>193</v>
      </c>
      <c r="N110" s="9" t="s">
        <v>196</v>
      </c>
    </row>
    <row r="111" spans="1:14" x14ac:dyDescent="0.3">
      <c r="A111" s="9" t="s">
        <v>135</v>
      </c>
      <c r="B111" s="18" t="s">
        <v>198</v>
      </c>
      <c r="C111" s="18" t="s">
        <v>199</v>
      </c>
      <c r="D111" s="9" t="s">
        <v>187</v>
      </c>
      <c r="E111" s="10">
        <v>18.871677999999999</v>
      </c>
      <c r="F111" s="10">
        <v>-99.183262999999997</v>
      </c>
      <c r="G111" s="9" t="s">
        <v>188</v>
      </c>
      <c r="H111" s="18" t="s">
        <v>189</v>
      </c>
      <c r="I111" s="9" t="s">
        <v>202</v>
      </c>
      <c r="J111" s="9" t="s">
        <v>191</v>
      </c>
      <c r="K111" s="9" t="s">
        <v>192</v>
      </c>
      <c r="L111" s="8">
        <v>19</v>
      </c>
      <c r="M111" s="9" t="s">
        <v>193</v>
      </c>
      <c r="N111" s="9" t="s">
        <v>194</v>
      </c>
    </row>
    <row r="112" spans="1:14" x14ac:dyDescent="0.3">
      <c r="A112" s="9" t="s">
        <v>136</v>
      </c>
      <c r="B112" s="18" t="s">
        <v>186</v>
      </c>
      <c r="C112" s="18" t="s">
        <v>186</v>
      </c>
      <c r="D112" s="9" t="s">
        <v>187</v>
      </c>
      <c r="E112" s="10">
        <v>22.143077999999999</v>
      </c>
      <c r="F112" s="10">
        <v>-100.908523</v>
      </c>
      <c r="G112" s="9" t="s">
        <v>201</v>
      </c>
      <c r="H112" s="18" t="s">
        <v>203</v>
      </c>
      <c r="I112" s="9" t="s">
        <v>202</v>
      </c>
      <c r="J112" s="9" t="s">
        <v>191</v>
      </c>
      <c r="K112" s="9" t="s">
        <v>192</v>
      </c>
      <c r="L112" s="8">
        <v>21</v>
      </c>
      <c r="M112" s="9" t="s">
        <v>193</v>
      </c>
      <c r="N112" s="9" t="s">
        <v>194</v>
      </c>
    </row>
    <row r="113" spans="1:14" x14ac:dyDescent="0.3">
      <c r="A113" s="9" t="s">
        <v>137</v>
      </c>
      <c r="B113" s="18" t="s">
        <v>186</v>
      </c>
      <c r="C113" s="18" t="s">
        <v>186</v>
      </c>
      <c r="D113" s="9" t="s">
        <v>187</v>
      </c>
      <c r="E113" s="10">
        <v>22.143077999999999</v>
      </c>
      <c r="F113" s="10">
        <v>-100.908523</v>
      </c>
      <c r="G113" s="9" t="s">
        <v>201</v>
      </c>
      <c r="H113" s="18" t="s">
        <v>203</v>
      </c>
      <c r="I113" s="9" t="s">
        <v>202</v>
      </c>
      <c r="J113" s="9" t="s">
        <v>191</v>
      </c>
      <c r="K113" s="9" t="s">
        <v>192</v>
      </c>
      <c r="L113" s="8">
        <v>21</v>
      </c>
      <c r="M113" s="9" t="s">
        <v>193</v>
      </c>
      <c r="N113" s="9" t="s">
        <v>194</v>
      </c>
    </row>
    <row r="114" spans="1:14" x14ac:dyDescent="0.3">
      <c r="A114" s="9" t="s">
        <v>138</v>
      </c>
      <c r="B114" s="18" t="s">
        <v>186</v>
      </c>
      <c r="C114" s="18" t="s">
        <v>186</v>
      </c>
      <c r="D114" s="9" t="s">
        <v>187</v>
      </c>
      <c r="E114" s="10">
        <v>22.137343000000001</v>
      </c>
      <c r="F114" s="10">
        <v>-100.913935</v>
      </c>
      <c r="G114" s="9" t="s">
        <v>188</v>
      </c>
      <c r="H114" s="18" t="s">
        <v>203</v>
      </c>
      <c r="I114" s="9" t="s">
        <v>195</v>
      </c>
      <c r="J114" s="9" t="s">
        <v>191</v>
      </c>
      <c r="K114" s="9" t="s">
        <v>192</v>
      </c>
      <c r="L114" s="8">
        <v>22</v>
      </c>
      <c r="M114" s="9" t="s">
        <v>193</v>
      </c>
      <c r="N114" s="9" t="s">
        <v>194</v>
      </c>
    </row>
    <row r="115" spans="1:14" x14ac:dyDescent="0.3">
      <c r="A115" s="9" t="s">
        <v>139</v>
      </c>
      <c r="B115" s="18" t="s">
        <v>186</v>
      </c>
      <c r="C115" s="18" t="s">
        <v>186</v>
      </c>
      <c r="D115" s="9" t="s">
        <v>187</v>
      </c>
      <c r="E115" s="10">
        <v>22.177726</v>
      </c>
      <c r="F115" s="10">
        <v>-101.014094</v>
      </c>
      <c r="G115" s="9" t="s">
        <v>188</v>
      </c>
      <c r="H115" s="18" t="s">
        <v>189</v>
      </c>
      <c r="I115" s="9" t="s">
        <v>190</v>
      </c>
      <c r="J115" s="9" t="s">
        <v>191</v>
      </c>
      <c r="K115" s="9" t="s">
        <v>192</v>
      </c>
      <c r="L115" s="8">
        <v>21</v>
      </c>
      <c r="M115" s="9" t="s">
        <v>193</v>
      </c>
      <c r="N115" s="9" t="s">
        <v>194</v>
      </c>
    </row>
    <row r="116" spans="1:14" x14ac:dyDescent="0.3">
      <c r="A116" s="9" t="s">
        <v>140</v>
      </c>
      <c r="B116" s="18" t="s">
        <v>186</v>
      </c>
      <c r="C116" s="18" t="s">
        <v>186</v>
      </c>
      <c r="D116" s="9" t="s">
        <v>187</v>
      </c>
      <c r="E116" s="10">
        <v>22.138127000000001</v>
      </c>
      <c r="F116" s="10">
        <v>-100.920512</v>
      </c>
      <c r="G116" s="9" t="s">
        <v>201</v>
      </c>
      <c r="H116" s="18" t="s">
        <v>197</v>
      </c>
      <c r="I116" s="9" t="s">
        <v>195</v>
      </c>
      <c r="J116" s="9" t="s">
        <v>191</v>
      </c>
      <c r="K116" s="9" t="s">
        <v>192</v>
      </c>
      <c r="L116" s="8">
        <v>22</v>
      </c>
      <c r="M116" s="9" t="s">
        <v>193</v>
      </c>
      <c r="N116" s="9" t="s">
        <v>196</v>
      </c>
    </row>
    <row r="117" spans="1:14" x14ac:dyDescent="0.3">
      <c r="A117" s="9" t="s">
        <v>141</v>
      </c>
      <c r="B117" s="18" t="s">
        <v>186</v>
      </c>
      <c r="C117" s="18" t="s">
        <v>186</v>
      </c>
      <c r="D117" s="9" t="s">
        <v>187</v>
      </c>
      <c r="E117" s="10">
        <v>22.156469000000001</v>
      </c>
      <c r="F117" s="10">
        <v>-100.98554</v>
      </c>
      <c r="G117" s="9" t="s">
        <v>188</v>
      </c>
      <c r="H117" s="18" t="s">
        <v>197</v>
      </c>
      <c r="I117" s="9" t="s">
        <v>195</v>
      </c>
      <c r="J117" s="9" t="s">
        <v>204</v>
      </c>
      <c r="K117" s="9" t="s">
        <v>205</v>
      </c>
      <c r="L117" s="8">
        <v>25</v>
      </c>
      <c r="M117" s="9" t="s">
        <v>193</v>
      </c>
      <c r="N117" s="9" t="s">
        <v>194</v>
      </c>
    </row>
    <row r="118" spans="1:14" x14ac:dyDescent="0.3">
      <c r="A118" s="9" t="s">
        <v>142</v>
      </c>
      <c r="B118" s="18" t="s">
        <v>198</v>
      </c>
      <c r="C118" s="18" t="s">
        <v>199</v>
      </c>
      <c r="D118" s="9" t="s">
        <v>187</v>
      </c>
      <c r="E118" s="10">
        <v>18.875641000000002</v>
      </c>
      <c r="F118" s="10">
        <v>-99.220737</v>
      </c>
      <c r="G118" s="9" t="s">
        <v>188</v>
      </c>
      <c r="H118" s="18" t="s">
        <v>189</v>
      </c>
      <c r="I118" s="9" t="s">
        <v>195</v>
      </c>
      <c r="J118" s="9" t="s">
        <v>191</v>
      </c>
      <c r="K118" s="9" t="s">
        <v>192</v>
      </c>
      <c r="L118" s="8">
        <v>30</v>
      </c>
      <c r="M118" s="9" t="s">
        <v>200</v>
      </c>
      <c r="N118" s="9" t="s">
        <v>194</v>
      </c>
    </row>
    <row r="119" spans="1:14" x14ac:dyDescent="0.3">
      <c r="A119" s="9" t="s">
        <v>144</v>
      </c>
      <c r="B119" s="18" t="s">
        <v>198</v>
      </c>
      <c r="C119" s="18" t="s">
        <v>199</v>
      </c>
      <c r="D119" s="9" t="s">
        <v>187</v>
      </c>
      <c r="E119" s="10">
        <v>18.940062000000001</v>
      </c>
      <c r="F119" s="10">
        <v>-99.228172000000001</v>
      </c>
      <c r="G119" s="9" t="s">
        <v>201</v>
      </c>
      <c r="H119" s="18" t="s">
        <v>203</v>
      </c>
      <c r="I119" s="9" t="s">
        <v>195</v>
      </c>
      <c r="J119" s="9" t="s">
        <v>191</v>
      </c>
      <c r="K119" s="9" t="s">
        <v>192</v>
      </c>
      <c r="L119" s="8">
        <v>25</v>
      </c>
      <c r="M119" s="9" t="s">
        <v>193</v>
      </c>
      <c r="N119" s="9" t="s">
        <v>194</v>
      </c>
    </row>
    <row r="120" spans="1:14" x14ac:dyDescent="0.3">
      <c r="A120" s="9" t="s">
        <v>145</v>
      </c>
      <c r="B120" s="18" t="s">
        <v>198</v>
      </c>
      <c r="C120" s="18" t="s">
        <v>199</v>
      </c>
      <c r="D120" s="9" t="s">
        <v>187</v>
      </c>
      <c r="E120" s="10">
        <v>18.964790000000001</v>
      </c>
      <c r="F120" s="10">
        <v>-99.260017000000005</v>
      </c>
      <c r="G120" s="9" t="s">
        <v>188</v>
      </c>
      <c r="H120" s="18" t="s">
        <v>189</v>
      </c>
      <c r="I120" s="9" t="s">
        <v>195</v>
      </c>
      <c r="J120" s="9" t="s">
        <v>191</v>
      </c>
      <c r="K120" s="9" t="s">
        <v>192</v>
      </c>
      <c r="L120" s="8">
        <v>20</v>
      </c>
      <c r="M120" s="9" t="s">
        <v>193</v>
      </c>
      <c r="N120" s="9" t="s">
        <v>194</v>
      </c>
    </row>
    <row r="121" spans="1:14" x14ac:dyDescent="0.3">
      <c r="A121" s="9" t="s">
        <v>146</v>
      </c>
      <c r="B121" s="18" t="s">
        <v>186</v>
      </c>
      <c r="C121" s="18" t="s">
        <v>186</v>
      </c>
      <c r="D121" s="9" t="s">
        <v>187</v>
      </c>
      <c r="E121" s="10">
        <v>22.121856999999999</v>
      </c>
      <c r="F121" s="10">
        <v>-100.904279</v>
      </c>
      <c r="G121" s="9" t="s">
        <v>188</v>
      </c>
      <c r="H121" s="18" t="s">
        <v>189</v>
      </c>
      <c r="I121" s="9" t="s">
        <v>195</v>
      </c>
      <c r="J121" s="9" t="s">
        <v>191</v>
      </c>
      <c r="K121" s="9" t="s">
        <v>192</v>
      </c>
      <c r="L121" s="8">
        <v>82</v>
      </c>
      <c r="M121" s="9" t="s">
        <v>193</v>
      </c>
      <c r="N121" s="9" t="s">
        <v>196</v>
      </c>
    </row>
    <row r="122" spans="1:14" x14ac:dyDescent="0.3">
      <c r="A122" s="9" t="s">
        <v>147</v>
      </c>
      <c r="B122" s="18" t="s">
        <v>198</v>
      </c>
      <c r="C122" s="18" t="s">
        <v>199</v>
      </c>
      <c r="D122" s="9" t="s">
        <v>187</v>
      </c>
      <c r="E122" s="10">
        <v>18.871673999999999</v>
      </c>
      <c r="F122" s="10">
        <v>-99.183252999999993</v>
      </c>
      <c r="G122" s="9" t="s">
        <v>188</v>
      </c>
      <c r="H122" s="18" t="s">
        <v>197</v>
      </c>
      <c r="I122" s="9" t="s">
        <v>195</v>
      </c>
      <c r="J122" s="9" t="s">
        <v>204</v>
      </c>
      <c r="K122" s="9" t="s">
        <v>192</v>
      </c>
      <c r="L122" s="8">
        <v>25</v>
      </c>
      <c r="M122" s="9" t="s">
        <v>200</v>
      </c>
      <c r="N122" s="9" t="s">
        <v>194</v>
      </c>
    </row>
    <row r="123" spans="1:14" x14ac:dyDescent="0.3">
      <c r="A123" s="9" t="s">
        <v>148</v>
      </c>
      <c r="B123" s="18" t="s">
        <v>186</v>
      </c>
      <c r="C123" s="18" t="s">
        <v>186</v>
      </c>
      <c r="D123" s="9" t="s">
        <v>187</v>
      </c>
      <c r="E123" s="10">
        <v>22.169601</v>
      </c>
      <c r="F123" s="10">
        <v>-100.991821</v>
      </c>
      <c r="G123" s="9" t="s">
        <v>188</v>
      </c>
      <c r="H123" s="18" t="s">
        <v>189</v>
      </c>
      <c r="I123" s="9" t="s">
        <v>195</v>
      </c>
      <c r="J123" s="9" t="s">
        <v>191</v>
      </c>
      <c r="K123" s="9" t="s">
        <v>192</v>
      </c>
      <c r="L123" s="8">
        <v>82</v>
      </c>
      <c r="M123" s="9" t="s">
        <v>193</v>
      </c>
      <c r="N123" s="9" t="s">
        <v>194</v>
      </c>
    </row>
    <row r="124" spans="1:14" x14ac:dyDescent="0.3">
      <c r="A124" s="9" t="s">
        <v>149</v>
      </c>
      <c r="B124" s="18" t="s">
        <v>206</v>
      </c>
      <c r="C124" s="18" t="s">
        <v>207</v>
      </c>
      <c r="D124" s="9" t="s">
        <v>187</v>
      </c>
      <c r="E124" s="10">
        <v>23.753112000000002</v>
      </c>
      <c r="F124" s="10">
        <v>-99.168566999999996</v>
      </c>
      <c r="G124" s="9" t="s">
        <v>188</v>
      </c>
      <c r="H124" s="18" t="s">
        <v>189</v>
      </c>
      <c r="I124" s="9" t="s">
        <v>195</v>
      </c>
      <c r="J124" s="9" t="s">
        <v>191</v>
      </c>
      <c r="K124" s="9" t="s">
        <v>192</v>
      </c>
      <c r="L124" s="8">
        <v>25</v>
      </c>
      <c r="M124" s="9" t="s">
        <v>193</v>
      </c>
      <c r="N124" s="9" t="s">
        <v>194</v>
      </c>
    </row>
    <row r="125" spans="1:14" x14ac:dyDescent="0.3">
      <c r="A125" s="9" t="s">
        <v>150</v>
      </c>
      <c r="B125" s="18" t="s">
        <v>186</v>
      </c>
      <c r="C125" s="18" t="s">
        <v>186</v>
      </c>
      <c r="D125" s="9" t="s">
        <v>187</v>
      </c>
      <c r="E125" s="10">
        <v>22.137072</v>
      </c>
      <c r="F125" s="10">
        <v>-100.918865</v>
      </c>
      <c r="G125" s="9" t="s">
        <v>188</v>
      </c>
      <c r="H125" s="18" t="s">
        <v>203</v>
      </c>
      <c r="I125" s="9" t="s">
        <v>195</v>
      </c>
      <c r="J125" s="9" t="s">
        <v>191</v>
      </c>
      <c r="K125" s="9" t="s">
        <v>192</v>
      </c>
      <c r="L125" s="8">
        <v>21</v>
      </c>
      <c r="M125" s="9" t="s">
        <v>193</v>
      </c>
      <c r="N125" s="9" t="s">
        <v>196</v>
      </c>
    </row>
    <row r="126" spans="1:14" x14ac:dyDescent="0.3">
      <c r="A126" s="9" t="s">
        <v>151</v>
      </c>
      <c r="B126" s="18" t="s">
        <v>186</v>
      </c>
      <c r="C126" s="18" t="s">
        <v>186</v>
      </c>
      <c r="D126" s="9" t="s">
        <v>187</v>
      </c>
      <c r="E126" s="10">
        <v>22.192039999999999</v>
      </c>
      <c r="F126" s="10">
        <v>-100.956935</v>
      </c>
      <c r="G126" s="9" t="s">
        <v>188</v>
      </c>
      <c r="H126" s="18" t="s">
        <v>203</v>
      </c>
      <c r="I126" s="9" t="s">
        <v>195</v>
      </c>
      <c r="J126" s="9" t="s">
        <v>191</v>
      </c>
      <c r="K126" s="9" t="s">
        <v>192</v>
      </c>
      <c r="L126" s="8">
        <v>22</v>
      </c>
      <c r="M126" s="9" t="s">
        <v>193</v>
      </c>
      <c r="N126" s="9" t="s">
        <v>196</v>
      </c>
    </row>
    <row r="127" spans="1:14" x14ac:dyDescent="0.3">
      <c r="A127" s="9" t="s">
        <v>152</v>
      </c>
      <c r="B127" s="18" t="s">
        <v>186</v>
      </c>
      <c r="C127" s="18" t="s">
        <v>186</v>
      </c>
      <c r="D127" s="9" t="s">
        <v>187</v>
      </c>
      <c r="E127" s="10">
        <v>22.154209999999999</v>
      </c>
      <c r="F127" s="10">
        <v>-100.942233</v>
      </c>
      <c r="G127" s="9" t="s">
        <v>188</v>
      </c>
      <c r="H127" s="18" t="s">
        <v>203</v>
      </c>
      <c r="I127" s="9" t="s">
        <v>190</v>
      </c>
      <c r="J127" s="9" t="s">
        <v>191</v>
      </c>
      <c r="K127" s="9" t="s">
        <v>192</v>
      </c>
      <c r="L127" s="8">
        <v>22</v>
      </c>
      <c r="M127" s="9" t="s">
        <v>193</v>
      </c>
      <c r="N127" s="9" t="s">
        <v>196</v>
      </c>
    </row>
    <row r="128" spans="1:14" x14ac:dyDescent="0.3">
      <c r="A128" s="9" t="s">
        <v>153</v>
      </c>
      <c r="B128" s="18" t="s">
        <v>198</v>
      </c>
      <c r="C128" s="18" t="s">
        <v>199</v>
      </c>
      <c r="D128" s="9" t="s">
        <v>187</v>
      </c>
      <c r="E128" s="10">
        <v>18.943935</v>
      </c>
      <c r="F128" s="10">
        <v>-99.206531999999996</v>
      </c>
      <c r="G128" s="9" t="s">
        <v>188</v>
      </c>
      <c r="H128" s="18" t="s">
        <v>189</v>
      </c>
      <c r="I128" s="9" t="s">
        <v>195</v>
      </c>
      <c r="J128" s="9" t="s">
        <v>191</v>
      </c>
      <c r="K128" s="9" t="s">
        <v>192</v>
      </c>
      <c r="L128" s="8">
        <v>20</v>
      </c>
      <c r="M128" s="9" t="s">
        <v>193</v>
      </c>
      <c r="N128" s="9" t="s">
        <v>196</v>
      </c>
    </row>
    <row r="129" spans="1:14" x14ac:dyDescent="0.3">
      <c r="A129" s="9" t="s">
        <v>154</v>
      </c>
      <c r="B129" s="18" t="s">
        <v>186</v>
      </c>
      <c r="C129" s="18" t="s">
        <v>186</v>
      </c>
      <c r="D129" s="9" t="s">
        <v>187</v>
      </c>
      <c r="E129" s="10">
        <v>22.187235999999999</v>
      </c>
      <c r="F129" s="10">
        <v>-100.994213</v>
      </c>
      <c r="G129" s="9" t="s">
        <v>188</v>
      </c>
      <c r="H129" s="18" t="s">
        <v>203</v>
      </c>
      <c r="I129" s="9" t="s">
        <v>195</v>
      </c>
      <c r="J129" s="9" t="s">
        <v>191</v>
      </c>
      <c r="K129" s="9" t="s">
        <v>192</v>
      </c>
      <c r="L129" s="8">
        <v>26</v>
      </c>
      <c r="M129" s="9" t="s">
        <v>193</v>
      </c>
      <c r="N129" s="9" t="s">
        <v>196</v>
      </c>
    </row>
    <row r="130" spans="1:14" x14ac:dyDescent="0.3">
      <c r="A130" s="9" t="s">
        <v>155</v>
      </c>
      <c r="B130" s="18" t="s">
        <v>206</v>
      </c>
      <c r="C130" s="18" t="s">
        <v>207</v>
      </c>
      <c r="D130" s="9" t="s">
        <v>187</v>
      </c>
      <c r="E130" s="10">
        <v>23.728798000000001</v>
      </c>
      <c r="F130" s="10">
        <v>-99.134046999999995</v>
      </c>
      <c r="G130" s="9" t="s">
        <v>188</v>
      </c>
      <c r="H130" s="18" t="s">
        <v>203</v>
      </c>
      <c r="I130" s="9" t="s">
        <v>195</v>
      </c>
      <c r="J130" s="9" t="s">
        <v>191</v>
      </c>
      <c r="K130" s="9" t="s">
        <v>192</v>
      </c>
      <c r="L130" s="8">
        <v>23</v>
      </c>
      <c r="M130" s="9" t="s">
        <v>193</v>
      </c>
      <c r="N130" s="9" t="s">
        <v>196</v>
      </c>
    </row>
    <row r="131" spans="1:14" x14ac:dyDescent="0.3">
      <c r="A131" s="9" t="s">
        <v>156</v>
      </c>
      <c r="B131" s="18" t="s">
        <v>206</v>
      </c>
      <c r="C131" s="18" t="s">
        <v>207</v>
      </c>
      <c r="D131" s="9" t="s">
        <v>187</v>
      </c>
      <c r="E131" s="10">
        <v>23.733000000000001</v>
      </c>
      <c r="F131" s="10">
        <v>-99.132999999999996</v>
      </c>
      <c r="G131" s="9" t="s">
        <v>188</v>
      </c>
      <c r="H131" s="18" t="s">
        <v>189</v>
      </c>
      <c r="I131" s="9" t="s">
        <v>195</v>
      </c>
      <c r="J131" s="9" t="s">
        <v>191</v>
      </c>
      <c r="K131" s="9" t="s">
        <v>192</v>
      </c>
      <c r="L131" s="8">
        <v>23</v>
      </c>
      <c r="M131" s="9" t="s">
        <v>193</v>
      </c>
      <c r="N131" s="9" t="s">
        <v>194</v>
      </c>
    </row>
    <row r="132" spans="1:14" x14ac:dyDescent="0.3">
      <c r="A132" s="9" t="s">
        <v>157</v>
      </c>
      <c r="B132" s="18" t="s">
        <v>186</v>
      </c>
      <c r="C132" s="18" t="s">
        <v>186</v>
      </c>
      <c r="D132" s="9" t="s">
        <v>187</v>
      </c>
      <c r="E132" s="10">
        <v>22.138245000000001</v>
      </c>
      <c r="F132" s="10">
        <v>-100.910948</v>
      </c>
      <c r="G132" s="9" t="s">
        <v>201</v>
      </c>
      <c r="H132" s="18" t="s">
        <v>197</v>
      </c>
      <c r="I132" s="9" t="s">
        <v>202</v>
      </c>
      <c r="J132" s="9" t="s">
        <v>204</v>
      </c>
      <c r="K132" s="9" t="s">
        <v>205</v>
      </c>
      <c r="L132" s="8">
        <v>22</v>
      </c>
      <c r="M132" s="9" t="s">
        <v>193</v>
      </c>
      <c r="N132" s="9" t="s">
        <v>194</v>
      </c>
    </row>
    <row r="133" spans="1:14" x14ac:dyDescent="0.3">
      <c r="A133" s="9" t="s">
        <v>158</v>
      </c>
      <c r="B133" s="18" t="s">
        <v>186</v>
      </c>
      <c r="C133" s="18" t="s">
        <v>186</v>
      </c>
      <c r="D133" s="9" t="s">
        <v>187</v>
      </c>
      <c r="E133" s="10">
        <v>22.15</v>
      </c>
      <c r="F133" s="10">
        <v>-100.983</v>
      </c>
      <c r="G133" s="9" t="s">
        <v>188</v>
      </c>
      <c r="H133" s="18" t="s">
        <v>203</v>
      </c>
      <c r="I133" s="9" t="s">
        <v>195</v>
      </c>
      <c r="J133" s="9" t="s">
        <v>191</v>
      </c>
      <c r="K133" s="9" t="s">
        <v>192</v>
      </c>
      <c r="L133" s="8">
        <v>21</v>
      </c>
      <c r="M133" s="9" t="s">
        <v>193</v>
      </c>
      <c r="N133" s="9" t="s">
        <v>194</v>
      </c>
    </row>
    <row r="134" spans="1:14" x14ac:dyDescent="0.3">
      <c r="A134" s="9" t="s">
        <v>159</v>
      </c>
      <c r="B134" s="18" t="s">
        <v>211</v>
      </c>
      <c r="C134" s="18" t="s">
        <v>199</v>
      </c>
      <c r="D134" s="9" t="s">
        <v>187</v>
      </c>
      <c r="E134" s="10">
        <v>18.886697999999999</v>
      </c>
      <c r="F134" s="10">
        <v>-99.114979000000005</v>
      </c>
      <c r="G134" s="9" t="s">
        <v>188</v>
      </c>
      <c r="H134" s="18" t="s">
        <v>189</v>
      </c>
      <c r="I134" s="9" t="s">
        <v>202</v>
      </c>
      <c r="J134" s="9" t="s">
        <v>191</v>
      </c>
      <c r="K134" s="9" t="s">
        <v>192</v>
      </c>
      <c r="L134" s="8">
        <v>21</v>
      </c>
      <c r="M134" s="9" t="s">
        <v>193</v>
      </c>
      <c r="N134" s="9" t="s">
        <v>194</v>
      </c>
    </row>
    <row r="135" spans="1:14" x14ac:dyDescent="0.3">
      <c r="A135" s="9" t="s">
        <v>160</v>
      </c>
      <c r="B135" s="18" t="s">
        <v>186</v>
      </c>
      <c r="C135" s="18" t="s">
        <v>186</v>
      </c>
      <c r="D135" s="9" t="s">
        <v>187</v>
      </c>
      <c r="E135" s="10">
        <v>22.149654000000002</v>
      </c>
      <c r="F135" s="10">
        <v>-100.99861</v>
      </c>
      <c r="G135" s="9" t="s">
        <v>188</v>
      </c>
      <c r="H135" s="18" t="s">
        <v>203</v>
      </c>
      <c r="I135" s="9" t="s">
        <v>195</v>
      </c>
      <c r="J135" s="9" t="s">
        <v>191</v>
      </c>
      <c r="K135" s="9" t="s">
        <v>192</v>
      </c>
      <c r="L135" s="8">
        <v>21</v>
      </c>
      <c r="M135" s="9" t="s">
        <v>193</v>
      </c>
      <c r="N135" s="9" t="s">
        <v>194</v>
      </c>
    </row>
    <row r="136" spans="1:14" x14ac:dyDescent="0.3">
      <c r="A136" s="9" t="s">
        <v>161</v>
      </c>
      <c r="B136" s="18" t="s">
        <v>186</v>
      </c>
      <c r="C136" s="18" t="s">
        <v>186</v>
      </c>
      <c r="D136" s="9" t="s">
        <v>187</v>
      </c>
      <c r="E136" s="10">
        <v>22.170396</v>
      </c>
      <c r="F136" s="10">
        <v>-100.94993599999999</v>
      </c>
      <c r="G136" s="9" t="s">
        <v>188</v>
      </c>
      <c r="H136" s="18" t="s">
        <v>203</v>
      </c>
      <c r="I136" s="9" t="s">
        <v>190</v>
      </c>
      <c r="J136" s="9" t="s">
        <v>191</v>
      </c>
      <c r="K136" s="9" t="s">
        <v>205</v>
      </c>
      <c r="L136" s="8">
        <v>24</v>
      </c>
      <c r="M136" s="9" t="s">
        <v>193</v>
      </c>
      <c r="N136" s="9" t="s">
        <v>196</v>
      </c>
    </row>
    <row r="137" spans="1:14" x14ac:dyDescent="0.3">
      <c r="A137" s="9" t="s">
        <v>168</v>
      </c>
      <c r="B137" s="18" t="s">
        <v>186</v>
      </c>
      <c r="C137" s="18" t="s">
        <v>186</v>
      </c>
      <c r="D137" s="9" t="s">
        <v>187</v>
      </c>
      <c r="E137" s="10">
        <v>22.149607</v>
      </c>
      <c r="F137" s="10">
        <v>-100.997235</v>
      </c>
      <c r="G137" s="9" t="s">
        <v>201</v>
      </c>
      <c r="H137" s="18" t="s">
        <v>197</v>
      </c>
      <c r="I137" s="9" t="s">
        <v>202</v>
      </c>
      <c r="J137" s="9" t="s">
        <v>191</v>
      </c>
      <c r="K137" s="9" t="s">
        <v>192</v>
      </c>
      <c r="L137" s="8">
        <v>22</v>
      </c>
      <c r="M137" s="9" t="s">
        <v>193</v>
      </c>
      <c r="N137" s="9" t="s">
        <v>196</v>
      </c>
    </row>
    <row r="138" spans="1:14" x14ac:dyDescent="0.3">
      <c r="A138" s="9" t="s">
        <v>169</v>
      </c>
      <c r="B138" s="18" t="s">
        <v>186</v>
      </c>
      <c r="C138" s="18" t="s">
        <v>186</v>
      </c>
      <c r="D138" s="9" t="s">
        <v>187</v>
      </c>
      <c r="E138" s="10">
        <v>22.144803</v>
      </c>
      <c r="F138" s="10">
        <v>-100.94462300000001</v>
      </c>
      <c r="G138" s="9" t="s">
        <v>188</v>
      </c>
      <c r="H138" s="18" t="s">
        <v>197</v>
      </c>
      <c r="I138" s="9" t="s">
        <v>195</v>
      </c>
      <c r="J138" s="9" t="s">
        <v>191</v>
      </c>
      <c r="K138" s="9" t="s">
        <v>192</v>
      </c>
      <c r="L138" s="8">
        <v>23</v>
      </c>
      <c r="M138" s="9" t="s">
        <v>193</v>
      </c>
      <c r="N138" s="9" t="s">
        <v>196</v>
      </c>
    </row>
    <row r="139" spans="1:14" x14ac:dyDescent="0.3">
      <c r="A139" s="9" t="s">
        <v>170</v>
      </c>
      <c r="B139" s="18" t="s">
        <v>186</v>
      </c>
      <c r="C139" s="18" t="s">
        <v>186</v>
      </c>
      <c r="D139" s="9" t="s">
        <v>187</v>
      </c>
      <c r="E139" s="10">
        <v>22.152884</v>
      </c>
      <c r="F139" s="10">
        <v>-100.939663</v>
      </c>
      <c r="G139" s="9" t="s">
        <v>188</v>
      </c>
      <c r="H139" s="18" t="s">
        <v>197</v>
      </c>
      <c r="I139" s="9" t="s">
        <v>195</v>
      </c>
      <c r="J139" s="9" t="s">
        <v>191</v>
      </c>
      <c r="K139" s="9" t="s">
        <v>192</v>
      </c>
      <c r="L139" s="8">
        <v>21</v>
      </c>
      <c r="M139" s="9" t="s">
        <v>193</v>
      </c>
      <c r="N139" s="9" t="s">
        <v>194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9EA7-2CC2-47C2-B5AA-DCC397C451CC}">
  <sheetPr>
    <tabColor theme="6" tint="0.39997558519241921"/>
  </sheetPr>
  <dimension ref="A1:C139"/>
  <sheetViews>
    <sheetView workbookViewId="0">
      <selection activeCell="D8" sqref="D8"/>
    </sheetView>
  </sheetViews>
  <sheetFormatPr defaultRowHeight="14.4" x14ac:dyDescent="0.3"/>
  <cols>
    <col min="1" max="1" width="14.44140625" customWidth="1"/>
    <col min="2" max="2" width="17.21875" style="18" customWidth="1"/>
    <col min="3" max="3" width="17.21875" style="3" customWidth="1"/>
  </cols>
  <sheetData>
    <row r="1" spans="1:3" x14ac:dyDescent="0.3">
      <c r="A1" s="1" t="s">
        <v>171</v>
      </c>
      <c r="B1" s="17" t="s">
        <v>172</v>
      </c>
      <c r="C1" s="2"/>
    </row>
    <row r="2" spans="1:3" x14ac:dyDescent="0.3">
      <c r="A2" s="8" t="s">
        <v>0</v>
      </c>
      <c r="B2" s="18" t="s">
        <v>1</v>
      </c>
      <c r="C2" s="9"/>
    </row>
    <row r="3" spans="1:3" x14ac:dyDescent="0.3">
      <c r="A3" s="8" t="s">
        <v>2</v>
      </c>
      <c r="B3" s="18" t="s">
        <v>3</v>
      </c>
      <c r="C3" s="9"/>
    </row>
    <row r="4" spans="1:3" x14ac:dyDescent="0.3">
      <c r="A4" s="8" t="s">
        <v>4</v>
      </c>
      <c r="B4" s="18" t="s">
        <v>3</v>
      </c>
      <c r="C4" s="9"/>
    </row>
    <row r="5" spans="1:3" x14ac:dyDescent="0.3">
      <c r="A5" s="8" t="s">
        <v>5</v>
      </c>
      <c r="B5" s="18" t="s">
        <v>6</v>
      </c>
      <c r="C5" s="9"/>
    </row>
    <row r="6" spans="1:3" x14ac:dyDescent="0.3">
      <c r="A6" s="8" t="s">
        <v>12</v>
      </c>
      <c r="B6" s="18" t="s">
        <v>1</v>
      </c>
      <c r="C6" s="9"/>
    </row>
    <row r="7" spans="1:3" x14ac:dyDescent="0.3">
      <c r="A7" s="8" t="s">
        <v>13</v>
      </c>
      <c r="B7" s="18" t="s">
        <v>3</v>
      </c>
      <c r="C7" s="9"/>
    </row>
    <row r="8" spans="1:3" x14ac:dyDescent="0.3">
      <c r="A8" s="8" t="s">
        <v>14</v>
      </c>
      <c r="B8" s="18" t="s">
        <v>15</v>
      </c>
      <c r="C8" s="9"/>
    </row>
    <row r="9" spans="1:3" x14ac:dyDescent="0.3">
      <c r="A9" s="8" t="s">
        <v>16</v>
      </c>
      <c r="B9" s="18" t="s">
        <v>10</v>
      </c>
      <c r="C9" s="9"/>
    </row>
    <row r="10" spans="1:3" x14ac:dyDescent="0.3">
      <c r="A10" s="8" t="s">
        <v>19</v>
      </c>
      <c r="B10" s="18" t="s">
        <v>20</v>
      </c>
      <c r="C10" s="9"/>
    </row>
    <row r="11" spans="1:3" x14ac:dyDescent="0.3">
      <c r="A11" s="8" t="s">
        <v>22</v>
      </c>
      <c r="B11" s="18" t="s">
        <v>3</v>
      </c>
      <c r="C11" s="9"/>
    </row>
    <row r="12" spans="1:3" x14ac:dyDescent="0.3">
      <c r="A12" s="8" t="s">
        <v>23</v>
      </c>
      <c r="B12" s="18" t="s">
        <v>3</v>
      </c>
      <c r="C12" s="9"/>
    </row>
    <row r="13" spans="1:3" x14ac:dyDescent="0.3">
      <c r="A13" s="8" t="s">
        <v>24</v>
      </c>
      <c r="B13" s="18" t="s">
        <v>17</v>
      </c>
      <c r="C13" s="9"/>
    </row>
    <row r="14" spans="1:3" x14ac:dyDescent="0.3">
      <c r="A14" s="8" t="s">
        <v>25</v>
      </c>
      <c r="B14" s="18" t="s">
        <v>8</v>
      </c>
      <c r="C14" s="9"/>
    </row>
    <row r="15" spans="1:3" x14ac:dyDescent="0.3">
      <c r="A15" s="8" t="s">
        <v>26</v>
      </c>
      <c r="B15" s="18" t="s">
        <v>8</v>
      </c>
      <c r="C15" s="9"/>
    </row>
    <row r="16" spans="1:3" x14ac:dyDescent="0.3">
      <c r="A16" s="8" t="s">
        <v>27</v>
      </c>
      <c r="B16" s="18" t="s">
        <v>3</v>
      </c>
      <c r="C16" s="9"/>
    </row>
    <row r="17" spans="1:3" x14ac:dyDescent="0.3">
      <c r="A17" s="8" t="s">
        <v>28</v>
      </c>
      <c r="B17" s="18" t="s">
        <v>10</v>
      </c>
      <c r="C17" s="9"/>
    </row>
    <row r="18" spans="1:3" x14ac:dyDescent="0.3">
      <c r="A18" s="8" t="s">
        <v>31</v>
      </c>
      <c r="B18" s="18" t="s">
        <v>32</v>
      </c>
      <c r="C18" s="9"/>
    </row>
    <row r="19" spans="1:3" x14ac:dyDescent="0.3">
      <c r="A19" s="8" t="s">
        <v>33</v>
      </c>
      <c r="B19" s="18" t="s">
        <v>3</v>
      </c>
      <c r="C19" s="9"/>
    </row>
    <row r="20" spans="1:3" x14ac:dyDescent="0.3">
      <c r="A20" s="8" t="s">
        <v>34</v>
      </c>
      <c r="B20" s="18" t="s">
        <v>15</v>
      </c>
      <c r="C20" s="9"/>
    </row>
    <row r="21" spans="1:3" x14ac:dyDescent="0.3">
      <c r="A21" s="8" t="s">
        <v>35</v>
      </c>
      <c r="B21" s="18" t="s">
        <v>3</v>
      </c>
      <c r="C21" s="9"/>
    </row>
    <row r="22" spans="1:3" x14ac:dyDescent="0.3">
      <c r="A22" s="8" t="s">
        <v>36</v>
      </c>
      <c r="B22" s="18" t="s">
        <v>37</v>
      </c>
      <c r="C22" s="9"/>
    </row>
    <row r="23" spans="1:3" x14ac:dyDescent="0.3">
      <c r="A23" s="8" t="s">
        <v>39</v>
      </c>
      <c r="B23" s="18" t="s">
        <v>3</v>
      </c>
      <c r="C23" s="9"/>
    </row>
    <row r="24" spans="1:3" x14ac:dyDescent="0.3">
      <c r="A24" s="8" t="s">
        <v>40</v>
      </c>
      <c r="B24" s="18" t="s">
        <v>3</v>
      </c>
      <c r="C24" s="9"/>
    </row>
    <row r="25" spans="1:3" x14ac:dyDescent="0.3">
      <c r="A25" s="8" t="s">
        <v>41</v>
      </c>
      <c r="B25" s="18" t="s">
        <v>42</v>
      </c>
      <c r="C25" s="9"/>
    </row>
    <row r="26" spans="1:3" x14ac:dyDescent="0.3">
      <c r="A26" s="8" t="s">
        <v>43</v>
      </c>
      <c r="B26" s="18" t="s">
        <v>3</v>
      </c>
      <c r="C26" s="9"/>
    </row>
    <row r="27" spans="1:3" x14ac:dyDescent="0.3">
      <c r="A27" s="8" t="s">
        <v>44</v>
      </c>
      <c r="B27" s="18" t="s">
        <v>3</v>
      </c>
      <c r="C27" s="9"/>
    </row>
    <row r="28" spans="1:3" x14ac:dyDescent="0.3">
      <c r="A28" s="8" t="s">
        <v>45</v>
      </c>
      <c r="B28" s="18" t="s">
        <v>15</v>
      </c>
      <c r="C28" s="9"/>
    </row>
    <row r="29" spans="1:3" x14ac:dyDescent="0.3">
      <c r="A29" s="8" t="s">
        <v>46</v>
      </c>
      <c r="B29" s="18" t="s">
        <v>3</v>
      </c>
      <c r="C29" s="9"/>
    </row>
    <row r="30" spans="1:3" x14ac:dyDescent="0.3">
      <c r="A30" s="8" t="s">
        <v>47</v>
      </c>
      <c r="B30" s="18" t="s">
        <v>3</v>
      </c>
      <c r="C30" s="9"/>
    </row>
    <row r="31" spans="1:3" x14ac:dyDescent="0.3">
      <c r="A31" s="8" t="s">
        <v>48</v>
      </c>
      <c r="B31" s="18" t="s">
        <v>3</v>
      </c>
      <c r="C31" s="9"/>
    </row>
    <row r="32" spans="1:3" x14ac:dyDescent="0.3">
      <c r="A32" s="8" t="s">
        <v>49</v>
      </c>
      <c r="B32" s="18" t="s">
        <v>3</v>
      </c>
      <c r="C32" s="9"/>
    </row>
    <row r="33" spans="1:3" x14ac:dyDescent="0.3">
      <c r="A33" s="8" t="s">
        <v>50</v>
      </c>
      <c r="B33" s="18" t="s">
        <v>3</v>
      </c>
      <c r="C33" s="9"/>
    </row>
    <row r="34" spans="1:3" x14ac:dyDescent="0.3">
      <c r="A34" s="8" t="s">
        <v>51</v>
      </c>
      <c r="B34" s="18" t="s">
        <v>3</v>
      </c>
      <c r="C34" s="9"/>
    </row>
    <row r="35" spans="1:3" x14ac:dyDescent="0.3">
      <c r="A35" s="8" t="s">
        <v>52</v>
      </c>
      <c r="B35" s="18" t="s">
        <v>3</v>
      </c>
      <c r="C35" s="9"/>
    </row>
    <row r="36" spans="1:3" x14ac:dyDescent="0.3">
      <c r="A36" s="8" t="s">
        <v>53</v>
      </c>
      <c r="B36" s="18" t="s">
        <v>15</v>
      </c>
      <c r="C36" s="9"/>
    </row>
    <row r="37" spans="1:3" x14ac:dyDescent="0.3">
      <c r="A37" s="8" t="s">
        <v>54</v>
      </c>
      <c r="B37" s="18" t="s">
        <v>3</v>
      </c>
      <c r="C37" s="9"/>
    </row>
    <row r="38" spans="1:3" x14ac:dyDescent="0.3">
      <c r="A38" s="8" t="s">
        <v>55</v>
      </c>
      <c r="B38" s="18" t="s">
        <v>3</v>
      </c>
      <c r="C38" s="9"/>
    </row>
    <row r="39" spans="1:3" x14ac:dyDescent="0.3">
      <c r="A39" s="8" t="s">
        <v>56</v>
      </c>
      <c r="B39" s="18" t="s">
        <v>3</v>
      </c>
      <c r="C39" s="9"/>
    </row>
    <row r="40" spans="1:3" x14ac:dyDescent="0.3">
      <c r="A40" s="8" t="s">
        <v>57</v>
      </c>
      <c r="B40" s="18" t="s">
        <v>29</v>
      </c>
      <c r="C40" s="9"/>
    </row>
    <row r="41" spans="1:3" x14ac:dyDescent="0.3">
      <c r="A41" s="8" t="s">
        <v>58</v>
      </c>
      <c r="B41" s="18" t="s">
        <v>37</v>
      </c>
      <c r="C41" s="9"/>
    </row>
    <row r="42" spans="1:3" x14ac:dyDescent="0.3">
      <c r="A42" s="8" t="s">
        <v>59</v>
      </c>
      <c r="B42" s="18" t="s">
        <v>9</v>
      </c>
      <c r="C42" s="9"/>
    </row>
    <row r="43" spans="1:3" x14ac:dyDescent="0.3">
      <c r="A43" s="8" t="s">
        <v>60</v>
      </c>
      <c r="B43" s="18" t="s">
        <v>3</v>
      </c>
      <c r="C43" s="9"/>
    </row>
    <row r="44" spans="1:3" x14ac:dyDescent="0.3">
      <c r="A44" s="8" t="s">
        <v>61</v>
      </c>
      <c r="B44" s="18" t="s">
        <v>17</v>
      </c>
      <c r="C44" s="9"/>
    </row>
    <row r="45" spans="1:3" x14ac:dyDescent="0.3">
      <c r="A45" s="8" t="s">
        <v>62</v>
      </c>
      <c r="B45" s="18" t="s">
        <v>3</v>
      </c>
      <c r="C45" s="9"/>
    </row>
    <row r="46" spans="1:3" x14ac:dyDescent="0.3">
      <c r="A46" s="8" t="s">
        <v>63</v>
      </c>
      <c r="B46" s="18" t="s">
        <v>64</v>
      </c>
      <c r="C46" s="9"/>
    </row>
    <row r="47" spans="1:3" x14ac:dyDescent="0.3">
      <c r="A47" s="8" t="s">
        <v>65</v>
      </c>
      <c r="B47" s="18" t="s">
        <v>66</v>
      </c>
      <c r="C47" s="9"/>
    </row>
    <row r="48" spans="1:3" x14ac:dyDescent="0.3">
      <c r="A48" s="8" t="s">
        <v>67</v>
      </c>
      <c r="B48" s="18" t="s">
        <v>1</v>
      </c>
      <c r="C48" s="9"/>
    </row>
    <row r="49" spans="1:3" x14ac:dyDescent="0.3">
      <c r="A49" s="8" t="s">
        <v>68</v>
      </c>
      <c r="B49" s="18" t="s">
        <v>3</v>
      </c>
      <c r="C49" s="9"/>
    </row>
    <row r="50" spans="1:3" x14ac:dyDescent="0.3">
      <c r="A50" s="8" t="s">
        <v>69</v>
      </c>
      <c r="B50" s="18" t="s">
        <v>3</v>
      </c>
      <c r="C50" s="9"/>
    </row>
    <row r="51" spans="1:3" x14ac:dyDescent="0.3">
      <c r="A51" s="8" t="s">
        <v>70</v>
      </c>
      <c r="B51" s="18" t="s">
        <v>3</v>
      </c>
      <c r="C51" s="9"/>
    </row>
    <row r="52" spans="1:3" x14ac:dyDescent="0.3">
      <c r="A52" s="8" t="s">
        <v>71</v>
      </c>
      <c r="B52" s="18" t="s">
        <v>3</v>
      </c>
      <c r="C52" s="9"/>
    </row>
    <row r="53" spans="1:3" x14ac:dyDescent="0.3">
      <c r="A53" s="8" t="s">
        <v>72</v>
      </c>
      <c r="B53" s="18" t="s">
        <v>6</v>
      </c>
      <c r="C53" s="9"/>
    </row>
    <row r="54" spans="1:3" x14ac:dyDescent="0.3">
      <c r="A54" s="8" t="s">
        <v>73</v>
      </c>
      <c r="B54" s="18" t="s">
        <v>3</v>
      </c>
      <c r="C54" s="9"/>
    </row>
    <row r="55" spans="1:3" x14ac:dyDescent="0.3">
      <c r="A55" s="8" t="s">
        <v>74</v>
      </c>
      <c r="B55" s="18" t="s">
        <v>3</v>
      </c>
      <c r="C55" s="9"/>
    </row>
    <row r="56" spans="1:3" x14ac:dyDescent="0.3">
      <c r="A56" s="8" t="s">
        <v>75</v>
      </c>
      <c r="B56" s="18" t="s">
        <v>7</v>
      </c>
      <c r="C56" s="9"/>
    </row>
    <row r="57" spans="1:3" x14ac:dyDescent="0.3">
      <c r="A57" s="8" t="s">
        <v>76</v>
      </c>
      <c r="B57" s="18" t="s">
        <v>3</v>
      </c>
      <c r="C57" s="9"/>
    </row>
    <row r="58" spans="1:3" x14ac:dyDescent="0.3">
      <c r="A58" s="8" t="s">
        <v>77</v>
      </c>
      <c r="B58" s="18" t="s">
        <v>1</v>
      </c>
      <c r="C58" s="9"/>
    </row>
    <row r="59" spans="1:3" x14ac:dyDescent="0.3">
      <c r="A59" s="8" t="s">
        <v>78</v>
      </c>
      <c r="B59" s="18" t="s">
        <v>79</v>
      </c>
      <c r="C59" s="9"/>
    </row>
    <row r="60" spans="1:3" x14ac:dyDescent="0.3">
      <c r="A60" s="8" t="s">
        <v>80</v>
      </c>
      <c r="B60" s="18" t="s">
        <v>3</v>
      </c>
      <c r="C60" s="9"/>
    </row>
    <row r="61" spans="1:3" x14ac:dyDescent="0.3">
      <c r="A61" s="8" t="s">
        <v>81</v>
      </c>
      <c r="B61" s="18" t="s">
        <v>38</v>
      </c>
      <c r="C61" s="9"/>
    </row>
    <row r="62" spans="1:3" x14ac:dyDescent="0.3">
      <c r="A62" s="8" t="s">
        <v>83</v>
      </c>
      <c r="B62" s="18" t="s">
        <v>3</v>
      </c>
      <c r="C62" s="9"/>
    </row>
    <row r="63" spans="1:3" x14ac:dyDescent="0.3">
      <c r="A63" s="8" t="s">
        <v>84</v>
      </c>
      <c r="B63" s="18" t="s">
        <v>3</v>
      </c>
      <c r="C63" s="9"/>
    </row>
    <row r="64" spans="1:3" x14ac:dyDescent="0.3">
      <c r="A64" s="8" t="s">
        <v>85</v>
      </c>
      <c r="B64" s="18" t="s">
        <v>3</v>
      </c>
      <c r="C64" s="9"/>
    </row>
    <row r="65" spans="1:3" x14ac:dyDescent="0.3">
      <c r="A65" s="8" t="s">
        <v>86</v>
      </c>
      <c r="B65" s="18" t="s">
        <v>3</v>
      </c>
      <c r="C65" s="9"/>
    </row>
    <row r="66" spans="1:3" x14ac:dyDescent="0.3">
      <c r="A66" s="8" t="s">
        <v>87</v>
      </c>
      <c r="B66" s="18" t="s">
        <v>3</v>
      </c>
      <c r="C66" s="9"/>
    </row>
    <row r="67" spans="1:3" x14ac:dyDescent="0.3">
      <c r="A67" s="8" t="s">
        <v>88</v>
      </c>
      <c r="B67" s="18" t="s">
        <v>3</v>
      </c>
      <c r="C67" s="9"/>
    </row>
    <row r="68" spans="1:3" x14ac:dyDescent="0.3">
      <c r="A68" s="8" t="s">
        <v>89</v>
      </c>
      <c r="B68" s="18" t="s">
        <v>3</v>
      </c>
      <c r="C68" s="9"/>
    </row>
    <row r="69" spans="1:3" x14ac:dyDescent="0.3">
      <c r="A69" s="8" t="s">
        <v>90</v>
      </c>
      <c r="B69" s="18" t="s">
        <v>3</v>
      </c>
      <c r="C69" s="9"/>
    </row>
    <row r="70" spans="1:3" x14ac:dyDescent="0.3">
      <c r="A70" s="8" t="s">
        <v>91</v>
      </c>
      <c r="B70" s="18" t="s">
        <v>3</v>
      </c>
      <c r="C70" s="9"/>
    </row>
    <row r="71" spans="1:3" x14ac:dyDescent="0.3">
      <c r="A71" s="8" t="s">
        <v>92</v>
      </c>
      <c r="B71" s="18" t="s">
        <v>3</v>
      </c>
      <c r="C71" s="9"/>
    </row>
    <row r="72" spans="1:3" x14ac:dyDescent="0.3">
      <c r="A72" s="8" t="s">
        <v>93</v>
      </c>
      <c r="B72" s="18" t="s">
        <v>3</v>
      </c>
      <c r="C72" s="9"/>
    </row>
    <row r="73" spans="1:3" x14ac:dyDescent="0.3">
      <c r="A73" s="8" t="s">
        <v>94</v>
      </c>
      <c r="B73" s="18" t="s">
        <v>3</v>
      </c>
      <c r="C73" s="9"/>
    </row>
    <row r="74" spans="1:3" x14ac:dyDescent="0.3">
      <c r="A74" s="8" t="s">
        <v>95</v>
      </c>
      <c r="B74" s="18" t="s">
        <v>1</v>
      </c>
      <c r="C74" s="9"/>
    </row>
    <row r="75" spans="1:3" x14ac:dyDescent="0.3">
      <c r="A75" s="8" t="s">
        <v>96</v>
      </c>
      <c r="B75" s="18" t="s">
        <v>97</v>
      </c>
      <c r="C75" s="9"/>
    </row>
    <row r="76" spans="1:3" x14ac:dyDescent="0.3">
      <c r="A76" s="8" t="s">
        <v>98</v>
      </c>
      <c r="B76" s="18" t="s">
        <v>3</v>
      </c>
      <c r="C76" s="9"/>
    </row>
    <row r="77" spans="1:3" x14ac:dyDescent="0.3">
      <c r="A77" s="8" t="s">
        <v>99</v>
      </c>
      <c r="B77" s="18" t="s">
        <v>3</v>
      </c>
      <c r="C77" s="9"/>
    </row>
    <row r="78" spans="1:3" x14ac:dyDescent="0.3">
      <c r="A78" s="8" t="s">
        <v>100</v>
      </c>
      <c r="B78" s="18" t="s">
        <v>3</v>
      </c>
      <c r="C78" s="9"/>
    </row>
    <row r="79" spans="1:3" x14ac:dyDescent="0.3">
      <c r="A79" s="8" t="s">
        <v>101</v>
      </c>
      <c r="B79" s="18" t="s">
        <v>3</v>
      </c>
      <c r="C79" s="9"/>
    </row>
    <row r="80" spans="1:3" x14ac:dyDescent="0.3">
      <c r="A80" s="8" t="s">
        <v>102</v>
      </c>
      <c r="B80" s="18" t="s">
        <v>3</v>
      </c>
      <c r="C80" s="9"/>
    </row>
    <row r="81" spans="1:3" x14ac:dyDescent="0.3">
      <c r="A81" s="8" t="s">
        <v>103</v>
      </c>
      <c r="B81" s="18" t="s">
        <v>3</v>
      </c>
      <c r="C81" s="9"/>
    </row>
    <row r="82" spans="1:3" x14ac:dyDescent="0.3">
      <c r="A82" s="8" t="s">
        <v>104</v>
      </c>
      <c r="B82" s="18" t="s">
        <v>3</v>
      </c>
      <c r="C82" s="9"/>
    </row>
    <row r="83" spans="1:3" x14ac:dyDescent="0.3">
      <c r="A83" s="8" t="s">
        <v>105</v>
      </c>
      <c r="B83" s="18" t="s">
        <v>3</v>
      </c>
      <c r="C83" s="9"/>
    </row>
    <row r="84" spans="1:3" x14ac:dyDescent="0.3">
      <c r="A84" s="8" t="s">
        <v>106</v>
      </c>
      <c r="B84" s="18" t="s">
        <v>3</v>
      </c>
      <c r="C84" s="9"/>
    </row>
    <row r="85" spans="1:3" x14ac:dyDescent="0.3">
      <c r="A85" s="8" t="s">
        <v>107</v>
      </c>
      <c r="B85" s="18" t="s">
        <v>3</v>
      </c>
      <c r="C85" s="9"/>
    </row>
    <row r="86" spans="1:3" x14ac:dyDescent="0.3">
      <c r="A86" s="8" t="s">
        <v>108</v>
      </c>
      <c r="B86" s="18" t="s">
        <v>3</v>
      </c>
      <c r="C86" s="9"/>
    </row>
    <row r="87" spans="1:3" x14ac:dyDescent="0.3">
      <c r="A87" s="8" t="s">
        <v>109</v>
      </c>
      <c r="B87" s="18" t="s">
        <v>18</v>
      </c>
      <c r="C87" s="9"/>
    </row>
    <row r="88" spans="1:3" x14ac:dyDescent="0.3">
      <c r="A88" s="8" t="s">
        <v>110</v>
      </c>
      <c r="B88" s="18" t="s">
        <v>32</v>
      </c>
      <c r="C88" s="9"/>
    </row>
    <row r="89" spans="1:3" x14ac:dyDescent="0.3">
      <c r="A89" s="8" t="s">
        <v>111</v>
      </c>
      <c r="B89" s="18" t="s">
        <v>3</v>
      </c>
      <c r="C89" s="9"/>
    </row>
    <row r="90" spans="1:3" x14ac:dyDescent="0.3">
      <c r="A90" s="8" t="s">
        <v>112</v>
      </c>
      <c r="B90" s="18" t="s">
        <v>3</v>
      </c>
      <c r="C90" s="9"/>
    </row>
    <row r="91" spans="1:3" x14ac:dyDescent="0.3">
      <c r="A91" s="8" t="s">
        <v>113</v>
      </c>
      <c r="B91" s="18" t="s">
        <v>82</v>
      </c>
      <c r="C91" s="9"/>
    </row>
    <row r="92" spans="1:3" x14ac:dyDescent="0.3">
      <c r="A92" s="8" t="s">
        <v>114</v>
      </c>
      <c r="B92" s="18" t="s">
        <v>1</v>
      </c>
      <c r="C92" s="9"/>
    </row>
    <row r="93" spans="1:3" x14ac:dyDescent="0.3">
      <c r="A93" s="8" t="s">
        <v>115</v>
      </c>
      <c r="B93" s="18" t="s">
        <v>116</v>
      </c>
      <c r="C93" s="9"/>
    </row>
    <row r="94" spans="1:3" x14ac:dyDescent="0.3">
      <c r="A94" s="8" t="s">
        <v>117</v>
      </c>
      <c r="B94" s="18" t="s">
        <v>8</v>
      </c>
      <c r="C94" s="9"/>
    </row>
    <row r="95" spans="1:3" x14ac:dyDescent="0.3">
      <c r="A95" s="8" t="s">
        <v>118</v>
      </c>
      <c r="B95" s="18" t="s">
        <v>3</v>
      </c>
      <c r="C95" s="9"/>
    </row>
    <row r="96" spans="1:3" x14ac:dyDescent="0.3">
      <c r="A96" s="8" t="s">
        <v>119</v>
      </c>
      <c r="B96" s="18" t="s">
        <v>18</v>
      </c>
      <c r="C96" s="9"/>
    </row>
    <row r="97" spans="1:3" x14ac:dyDescent="0.3">
      <c r="A97" s="8" t="s">
        <v>120</v>
      </c>
      <c r="B97" s="18" t="s">
        <v>3</v>
      </c>
      <c r="C97" s="9"/>
    </row>
    <row r="98" spans="1:3" x14ac:dyDescent="0.3">
      <c r="A98" s="8" t="s">
        <v>121</v>
      </c>
      <c r="B98" s="18" t="s">
        <v>3</v>
      </c>
      <c r="C98" s="9"/>
    </row>
    <row r="99" spans="1:3" x14ac:dyDescent="0.3">
      <c r="A99" s="8" t="s">
        <v>122</v>
      </c>
      <c r="B99" s="18" t="s">
        <v>3</v>
      </c>
      <c r="C99" s="9"/>
    </row>
    <row r="100" spans="1:3" x14ac:dyDescent="0.3">
      <c r="A100" s="8" t="s">
        <v>123</v>
      </c>
      <c r="B100" s="18" t="s">
        <v>3</v>
      </c>
      <c r="C100" s="9"/>
    </row>
    <row r="101" spans="1:3" x14ac:dyDescent="0.3">
      <c r="A101" s="8" t="s">
        <v>124</v>
      </c>
      <c r="B101" s="18" t="s">
        <v>3</v>
      </c>
      <c r="C101" s="9"/>
    </row>
    <row r="102" spans="1:3" x14ac:dyDescent="0.3">
      <c r="A102" s="8" t="s">
        <v>125</v>
      </c>
      <c r="B102" s="18" t="s">
        <v>32</v>
      </c>
      <c r="C102" s="9"/>
    </row>
    <row r="103" spans="1:3" x14ac:dyDescent="0.3">
      <c r="A103" s="8" t="s">
        <v>126</v>
      </c>
      <c r="B103" s="18" t="s">
        <v>37</v>
      </c>
      <c r="C103" s="9"/>
    </row>
    <row r="104" spans="1:3" x14ac:dyDescent="0.3">
      <c r="A104" s="8" t="s">
        <v>127</v>
      </c>
      <c r="B104" s="18" t="s">
        <v>3</v>
      </c>
      <c r="C104" s="9"/>
    </row>
    <row r="105" spans="1:3" x14ac:dyDescent="0.3">
      <c r="A105" s="8" t="s">
        <v>128</v>
      </c>
      <c r="B105" s="18" t="s">
        <v>18</v>
      </c>
      <c r="C105" s="9"/>
    </row>
    <row r="106" spans="1:3" x14ac:dyDescent="0.3">
      <c r="A106" s="8" t="s">
        <v>129</v>
      </c>
      <c r="B106" s="18" t="s">
        <v>11</v>
      </c>
      <c r="C106" s="9"/>
    </row>
    <row r="107" spans="1:3" x14ac:dyDescent="0.3">
      <c r="A107" s="8" t="s">
        <v>130</v>
      </c>
      <c r="B107" s="18" t="s">
        <v>30</v>
      </c>
      <c r="C107" s="9"/>
    </row>
    <row r="108" spans="1:3" x14ac:dyDescent="0.3">
      <c r="A108" s="8" t="s">
        <v>131</v>
      </c>
      <c r="B108" s="18" t="s">
        <v>3</v>
      </c>
      <c r="C108" s="9"/>
    </row>
    <row r="109" spans="1:3" x14ac:dyDescent="0.3">
      <c r="A109" s="8" t="s">
        <v>132</v>
      </c>
      <c r="B109" s="18" t="s">
        <v>10</v>
      </c>
      <c r="C109" s="9"/>
    </row>
    <row r="110" spans="1:3" x14ac:dyDescent="0.3">
      <c r="A110" s="8" t="s">
        <v>134</v>
      </c>
      <c r="B110" s="18" t="s">
        <v>3</v>
      </c>
      <c r="C110" s="9"/>
    </row>
    <row r="111" spans="1:3" x14ac:dyDescent="0.3">
      <c r="A111" s="8" t="s">
        <v>135</v>
      </c>
      <c r="B111" s="18" t="s">
        <v>3</v>
      </c>
      <c r="C111" s="9"/>
    </row>
    <row r="112" spans="1:3" x14ac:dyDescent="0.3">
      <c r="A112" s="8" t="s">
        <v>136</v>
      </c>
      <c r="B112" s="18" t="s">
        <v>3</v>
      </c>
      <c r="C112" s="9"/>
    </row>
    <row r="113" spans="1:3" x14ac:dyDescent="0.3">
      <c r="A113" s="8" t="s">
        <v>137</v>
      </c>
      <c r="B113" s="18" t="s">
        <v>3</v>
      </c>
      <c r="C113" s="9"/>
    </row>
    <row r="114" spans="1:3" x14ac:dyDescent="0.3">
      <c r="A114" s="8" t="s">
        <v>138</v>
      </c>
      <c r="B114" s="18" t="s">
        <v>38</v>
      </c>
      <c r="C114" s="9"/>
    </row>
    <row r="115" spans="1:3" x14ac:dyDescent="0.3">
      <c r="A115" s="8" t="s">
        <v>139</v>
      </c>
      <c r="B115" s="18" t="s">
        <v>3</v>
      </c>
      <c r="C115" s="9"/>
    </row>
    <row r="116" spans="1:3" x14ac:dyDescent="0.3">
      <c r="A116" s="8" t="s">
        <v>140</v>
      </c>
      <c r="B116" s="18" t="s">
        <v>29</v>
      </c>
      <c r="C116" s="9"/>
    </row>
    <row r="117" spans="1:3" x14ac:dyDescent="0.3">
      <c r="A117" s="8" t="s">
        <v>141</v>
      </c>
      <c r="B117" s="18" t="s">
        <v>3</v>
      </c>
      <c r="C117" s="9"/>
    </row>
    <row r="118" spans="1:3" x14ac:dyDescent="0.3">
      <c r="A118" s="8" t="s">
        <v>142</v>
      </c>
      <c r="B118" s="18" t="s">
        <v>143</v>
      </c>
      <c r="C118" s="9"/>
    </row>
    <row r="119" spans="1:3" x14ac:dyDescent="0.3">
      <c r="A119" s="8" t="s">
        <v>144</v>
      </c>
      <c r="B119" s="18" t="s">
        <v>37</v>
      </c>
      <c r="C119" s="9"/>
    </row>
    <row r="120" spans="1:3" x14ac:dyDescent="0.3">
      <c r="A120" s="8" t="s">
        <v>145</v>
      </c>
      <c r="B120" s="18" t="s">
        <v>3</v>
      </c>
      <c r="C120" s="9"/>
    </row>
    <row r="121" spans="1:3" x14ac:dyDescent="0.3">
      <c r="A121" s="8" t="s">
        <v>146</v>
      </c>
      <c r="B121" s="18" t="s">
        <v>3</v>
      </c>
      <c r="C121" s="9"/>
    </row>
    <row r="122" spans="1:3" x14ac:dyDescent="0.3">
      <c r="A122" s="8" t="s">
        <v>147</v>
      </c>
      <c r="B122" s="18" t="s">
        <v>3</v>
      </c>
      <c r="C122" s="9"/>
    </row>
    <row r="123" spans="1:3" x14ac:dyDescent="0.3">
      <c r="A123" s="8" t="s">
        <v>148</v>
      </c>
      <c r="B123" s="18" t="s">
        <v>42</v>
      </c>
      <c r="C123" s="9"/>
    </row>
    <row r="124" spans="1:3" x14ac:dyDescent="0.3">
      <c r="A124" s="8" t="s">
        <v>149</v>
      </c>
      <c r="B124" s="18" t="s">
        <v>3</v>
      </c>
      <c r="C124" s="9"/>
    </row>
    <row r="125" spans="1:3" x14ac:dyDescent="0.3">
      <c r="A125" s="8" t="s">
        <v>150</v>
      </c>
      <c r="B125" s="18" t="s">
        <v>3</v>
      </c>
      <c r="C125" s="9"/>
    </row>
    <row r="126" spans="1:3" x14ac:dyDescent="0.3">
      <c r="A126" s="8" t="s">
        <v>151</v>
      </c>
      <c r="B126" s="18" t="s">
        <v>3</v>
      </c>
      <c r="C126" s="9"/>
    </row>
    <row r="127" spans="1:3" x14ac:dyDescent="0.3">
      <c r="A127" s="8" t="s">
        <v>152</v>
      </c>
      <c r="B127" s="18" t="s">
        <v>3</v>
      </c>
      <c r="C127" s="9"/>
    </row>
    <row r="128" spans="1:3" x14ac:dyDescent="0.3">
      <c r="A128" s="8" t="s">
        <v>153</v>
      </c>
      <c r="B128" s="18" t="s">
        <v>3</v>
      </c>
      <c r="C128" s="9"/>
    </row>
    <row r="129" spans="1:3" x14ac:dyDescent="0.3">
      <c r="A129" s="8" t="s">
        <v>154</v>
      </c>
      <c r="B129" s="18" t="s">
        <v>11</v>
      </c>
      <c r="C129" s="9"/>
    </row>
    <row r="130" spans="1:3" x14ac:dyDescent="0.3">
      <c r="A130" s="8" t="s">
        <v>155</v>
      </c>
      <c r="B130" s="18" t="s">
        <v>3</v>
      </c>
      <c r="C130" s="9"/>
    </row>
    <row r="131" spans="1:3" x14ac:dyDescent="0.3">
      <c r="A131" s="8" t="s">
        <v>156</v>
      </c>
      <c r="B131" s="18" t="s">
        <v>3</v>
      </c>
      <c r="C131" s="9"/>
    </row>
    <row r="132" spans="1:3" x14ac:dyDescent="0.3">
      <c r="A132" s="8" t="s">
        <v>157</v>
      </c>
      <c r="B132" s="18" t="s">
        <v>3</v>
      </c>
      <c r="C132" s="9"/>
    </row>
    <row r="133" spans="1:3" x14ac:dyDescent="0.3">
      <c r="A133" s="8" t="s">
        <v>158</v>
      </c>
      <c r="B133" s="18" t="s">
        <v>3</v>
      </c>
      <c r="C133" s="9"/>
    </row>
    <row r="134" spans="1:3" x14ac:dyDescent="0.3">
      <c r="A134" s="8" t="s">
        <v>159</v>
      </c>
      <c r="B134" s="18" t="s">
        <v>3</v>
      </c>
      <c r="C134" s="9"/>
    </row>
    <row r="135" spans="1:3" x14ac:dyDescent="0.3">
      <c r="A135" s="8" t="s">
        <v>160</v>
      </c>
      <c r="B135" s="18" t="s">
        <v>3</v>
      </c>
      <c r="C135" s="9"/>
    </row>
    <row r="136" spans="1:3" x14ac:dyDescent="0.3">
      <c r="A136" s="8" t="s">
        <v>161</v>
      </c>
      <c r="B136" s="18" t="s">
        <v>162</v>
      </c>
      <c r="C136" s="9"/>
    </row>
    <row r="137" spans="1:3" x14ac:dyDescent="0.3">
      <c r="A137" s="8" t="s">
        <v>168</v>
      </c>
      <c r="B137" s="18" t="s">
        <v>3</v>
      </c>
      <c r="C137" s="9"/>
    </row>
    <row r="138" spans="1:3" x14ac:dyDescent="0.3">
      <c r="A138" s="8" t="s">
        <v>169</v>
      </c>
      <c r="B138" s="18" t="s">
        <v>3</v>
      </c>
      <c r="C138" s="9"/>
    </row>
    <row r="139" spans="1:3" x14ac:dyDescent="0.3">
      <c r="A139" s="8" t="s">
        <v>170</v>
      </c>
      <c r="B139" s="18" t="s">
        <v>37</v>
      </c>
      <c r="C139" s="9"/>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C7E0-24CC-4E34-986F-681CD5888883}">
  <sheetPr>
    <tabColor theme="5" tint="0.39997558519241921"/>
  </sheetPr>
  <dimension ref="A1:H139"/>
  <sheetViews>
    <sheetView workbookViewId="0">
      <selection activeCell="I4" sqref="I4"/>
    </sheetView>
  </sheetViews>
  <sheetFormatPr defaultRowHeight="14.4" x14ac:dyDescent="0.3"/>
  <cols>
    <col min="1" max="1" width="13.44140625" customWidth="1"/>
    <col min="2" max="2" width="14" customWidth="1"/>
    <col min="3" max="3" width="14.44140625" style="6" customWidth="1"/>
    <col min="4" max="4" width="12.77734375" style="6" customWidth="1"/>
    <col min="5" max="5" width="14.6640625" style="6" customWidth="1"/>
    <col min="6" max="6" width="13.109375" style="16" customWidth="1"/>
    <col min="7" max="7" width="16.5546875" style="16" customWidth="1"/>
    <col min="8" max="8" width="13" style="16" customWidth="1"/>
    <col min="9" max="9" width="15.109375" customWidth="1"/>
  </cols>
  <sheetData>
    <row r="1" spans="1:8" x14ac:dyDescent="0.3">
      <c r="A1" s="1" t="s">
        <v>171</v>
      </c>
      <c r="B1" s="1" t="s">
        <v>215</v>
      </c>
      <c r="C1" s="7" t="s">
        <v>214</v>
      </c>
      <c r="D1" s="7" t="s">
        <v>213</v>
      </c>
      <c r="E1" s="7" t="s">
        <v>212</v>
      </c>
      <c r="F1" s="19" t="s">
        <v>360</v>
      </c>
      <c r="G1" s="19" t="s">
        <v>362</v>
      </c>
      <c r="H1" s="19" t="s">
        <v>361</v>
      </c>
    </row>
    <row r="2" spans="1:8" x14ac:dyDescent="0.3">
      <c r="A2" s="8" t="s">
        <v>0</v>
      </c>
      <c r="B2" s="8">
        <v>132830</v>
      </c>
      <c r="C2" s="11">
        <v>1</v>
      </c>
      <c r="D2" s="11">
        <v>1</v>
      </c>
      <c r="E2" s="11">
        <v>1</v>
      </c>
      <c r="F2" s="20" t="str">
        <f>IF(C2&lt;=0,"Poor",IF(C2&lt;=1,"Good","Excellent"))</f>
        <v>Good</v>
      </c>
      <c r="G2" s="20" t="str">
        <f>IF(D2&lt;=0,"Poor",IF(D2&lt;=1,"Good","Excellent"))</f>
        <v>Good</v>
      </c>
      <c r="H2" s="20" t="str">
        <f>IF(E2&lt;=0,"Poor",IF(E2&lt;=1,"Good","Excellent"))</f>
        <v>Good</v>
      </c>
    </row>
    <row r="3" spans="1:8" x14ac:dyDescent="0.3">
      <c r="A3" s="8" t="s">
        <v>2</v>
      </c>
      <c r="B3" s="8">
        <v>132921</v>
      </c>
      <c r="C3" s="11">
        <v>2</v>
      </c>
      <c r="D3" s="11">
        <v>1</v>
      </c>
      <c r="E3" s="11">
        <v>1</v>
      </c>
      <c r="F3" s="20" t="str">
        <f>IF(C3&lt;=0,"Poor",IF(C3&lt;=1,"Good","Excellent"))</f>
        <v>Excellent</v>
      </c>
      <c r="G3" s="20" t="str">
        <f>IF(D3&lt;=0,"Poor",IF(D3&lt;=1,"Good","Excellent"))</f>
        <v>Good</v>
      </c>
      <c r="H3" s="20" t="str">
        <f>IF(E3&lt;=0,"Poor",IF(E3&lt;=1,"Good","Excellent"))</f>
        <v>Good</v>
      </c>
    </row>
    <row r="4" spans="1:8" x14ac:dyDescent="0.3">
      <c r="A4" s="8" t="s">
        <v>4</v>
      </c>
      <c r="B4" s="8">
        <v>135064</v>
      </c>
      <c r="C4" s="11">
        <v>0</v>
      </c>
      <c r="D4" s="11">
        <v>0</v>
      </c>
      <c r="E4" s="11">
        <v>0</v>
      </c>
      <c r="F4" s="20" t="str">
        <f>IF(C4&lt;=0,"Poor",IF(C4&lt;=1,"Good","Excellent"))</f>
        <v>Poor</v>
      </c>
      <c r="G4" s="20" t="str">
        <f>IF(D4&lt;=0,"Poor",IF(D4&lt;=1,"Good","Excellent"))</f>
        <v>Poor</v>
      </c>
      <c r="H4" s="20" t="str">
        <f>IF(E4&lt;=0,"Poor",IF(E4&lt;=1,"Good","Excellent"))</f>
        <v>Poor</v>
      </c>
    </row>
    <row r="5" spans="1:8" x14ac:dyDescent="0.3">
      <c r="A5" s="8" t="s">
        <v>5</v>
      </c>
      <c r="B5" s="8">
        <v>135060</v>
      </c>
      <c r="C5" s="11">
        <v>1</v>
      </c>
      <c r="D5" s="11">
        <v>1</v>
      </c>
      <c r="E5" s="11">
        <v>1</v>
      </c>
      <c r="F5" s="20" t="str">
        <f>IF(C5&lt;=0,"Poor",IF(C5&lt;=1,"Good","Excellent"))</f>
        <v>Good</v>
      </c>
      <c r="G5" s="20" t="str">
        <f>IF(D5&lt;=0,"Poor",IF(D5&lt;=1,"Good","Excellent"))</f>
        <v>Good</v>
      </c>
      <c r="H5" s="20" t="str">
        <f>IF(E5&lt;=0,"Poor",IF(E5&lt;=1,"Good","Excellent"))</f>
        <v>Good</v>
      </c>
    </row>
    <row r="6" spans="1:8" x14ac:dyDescent="0.3">
      <c r="A6" s="8" t="s">
        <v>12</v>
      </c>
      <c r="B6" s="8">
        <v>135050</v>
      </c>
      <c r="C6" s="11">
        <v>1</v>
      </c>
      <c r="D6" s="11">
        <v>2</v>
      </c>
      <c r="E6" s="11">
        <v>1</v>
      </c>
      <c r="F6" s="20" t="str">
        <f>IF(C6&lt;=0,"Poor",IF(C6&lt;=1,"Good","Excellent"))</f>
        <v>Good</v>
      </c>
      <c r="G6" s="20" t="str">
        <f>IF(D6&lt;=0,"Poor",IF(D6&lt;=1,"Good","Excellent"))</f>
        <v>Excellent</v>
      </c>
      <c r="H6" s="20" t="str">
        <f>IF(E6&lt;=0,"Poor",IF(E6&lt;=1,"Good","Excellent"))</f>
        <v>Good</v>
      </c>
    </row>
    <row r="7" spans="1:8" x14ac:dyDescent="0.3">
      <c r="A7" s="8" t="s">
        <v>13</v>
      </c>
      <c r="B7" s="8">
        <v>132954</v>
      </c>
      <c r="C7" s="11">
        <v>1</v>
      </c>
      <c r="D7" s="11">
        <v>1</v>
      </c>
      <c r="E7" s="11">
        <v>1</v>
      </c>
      <c r="F7" s="20" t="str">
        <f>IF(C7&lt;=0,"Poor",IF(C7&lt;=1,"Good","Excellent"))</f>
        <v>Good</v>
      </c>
      <c r="G7" s="20" t="str">
        <f>IF(D7&lt;=0,"Poor",IF(D7&lt;=1,"Good","Excellent"))</f>
        <v>Good</v>
      </c>
      <c r="H7" s="20" t="str">
        <f>IF(E7&lt;=0,"Poor",IF(E7&lt;=1,"Good","Excellent"))</f>
        <v>Good</v>
      </c>
    </row>
    <row r="8" spans="1:8" x14ac:dyDescent="0.3">
      <c r="A8" s="8" t="s">
        <v>14</v>
      </c>
      <c r="B8" s="8">
        <v>135108</v>
      </c>
      <c r="C8" s="11">
        <v>1</v>
      </c>
      <c r="D8" s="11">
        <v>1</v>
      </c>
      <c r="E8" s="11">
        <v>1</v>
      </c>
      <c r="F8" s="20" t="str">
        <f>IF(C8&lt;=0,"Poor",IF(C8&lt;=1,"Good","Excellent"))</f>
        <v>Good</v>
      </c>
      <c r="G8" s="20" t="str">
        <f>IF(D8&lt;=0,"Poor",IF(D8&lt;=1,"Good","Excellent"))</f>
        <v>Good</v>
      </c>
      <c r="H8" s="20" t="str">
        <f>IF(E8&lt;=0,"Poor",IF(E8&lt;=1,"Good","Excellent"))</f>
        <v>Good</v>
      </c>
    </row>
    <row r="9" spans="1:8" x14ac:dyDescent="0.3">
      <c r="A9" s="8" t="s">
        <v>16</v>
      </c>
      <c r="B9" s="8">
        <v>132866</v>
      </c>
      <c r="C9" s="11">
        <v>1</v>
      </c>
      <c r="D9" s="11">
        <v>1</v>
      </c>
      <c r="E9" s="11">
        <v>1</v>
      </c>
      <c r="F9" s="20" t="str">
        <f>IF(C9&lt;=0,"Poor",IF(C9&lt;=1,"Good","Excellent"))</f>
        <v>Good</v>
      </c>
      <c r="G9" s="20" t="str">
        <f>IF(D9&lt;=0,"Poor",IF(D9&lt;=1,"Good","Excellent"))</f>
        <v>Good</v>
      </c>
      <c r="H9" s="20" t="str">
        <f>IF(E9&lt;=0,"Poor",IF(E9&lt;=1,"Good","Excellent"))</f>
        <v>Good</v>
      </c>
    </row>
    <row r="10" spans="1:8" x14ac:dyDescent="0.3">
      <c r="A10" s="8" t="s">
        <v>19</v>
      </c>
      <c r="B10" s="8">
        <v>132754</v>
      </c>
      <c r="C10" s="11">
        <v>1</v>
      </c>
      <c r="D10" s="11">
        <v>2</v>
      </c>
      <c r="E10" s="11">
        <v>1</v>
      </c>
      <c r="F10" s="20" t="str">
        <f>IF(C10&lt;=0,"Poor",IF(C10&lt;=1,"Good","Excellent"))</f>
        <v>Good</v>
      </c>
      <c r="G10" s="20" t="str">
        <f>IF(D10&lt;=0,"Poor",IF(D10&lt;=1,"Good","Excellent"))</f>
        <v>Excellent</v>
      </c>
      <c r="H10" s="20" t="str">
        <f>IF(E10&lt;=0,"Poor",IF(E10&lt;=1,"Good","Excellent"))</f>
        <v>Good</v>
      </c>
    </row>
    <row r="11" spans="1:8" x14ac:dyDescent="0.3">
      <c r="A11" s="8" t="s">
        <v>22</v>
      </c>
      <c r="B11" s="8">
        <v>135053</v>
      </c>
      <c r="C11" s="11">
        <v>1</v>
      </c>
      <c r="D11" s="11">
        <v>1</v>
      </c>
      <c r="E11" s="11">
        <v>1</v>
      </c>
      <c r="F11" s="20" t="str">
        <f>IF(C11&lt;=0,"Poor",IF(C11&lt;=1,"Good","Excellent"))</f>
        <v>Good</v>
      </c>
      <c r="G11" s="20" t="str">
        <f>IF(D11&lt;=0,"Poor",IF(D11&lt;=1,"Good","Excellent"))</f>
        <v>Good</v>
      </c>
      <c r="H11" s="20" t="str">
        <f>IF(E11&lt;=0,"Poor",IF(E11&lt;=1,"Good","Excellent"))</f>
        <v>Good</v>
      </c>
    </row>
    <row r="12" spans="1:8" x14ac:dyDescent="0.3">
      <c r="A12" s="8" t="s">
        <v>23</v>
      </c>
      <c r="B12" s="8">
        <v>132717</v>
      </c>
      <c r="C12" s="11">
        <v>2</v>
      </c>
      <c r="D12" s="11">
        <v>2</v>
      </c>
      <c r="E12" s="11">
        <v>1</v>
      </c>
      <c r="F12" s="20" t="str">
        <f>IF(C12&lt;=0,"Poor",IF(C12&lt;=1,"Good","Excellent"))</f>
        <v>Excellent</v>
      </c>
      <c r="G12" s="20" t="str">
        <f>IF(D12&lt;=0,"Poor",IF(D12&lt;=1,"Good","Excellent"))</f>
        <v>Excellent</v>
      </c>
      <c r="H12" s="20" t="str">
        <f>IF(E12&lt;=0,"Poor",IF(E12&lt;=1,"Good","Excellent"))</f>
        <v>Good</v>
      </c>
    </row>
    <row r="13" spans="1:8" x14ac:dyDescent="0.3">
      <c r="A13" s="8" t="s">
        <v>24</v>
      </c>
      <c r="B13" s="8">
        <v>135001</v>
      </c>
      <c r="C13" s="11">
        <v>1</v>
      </c>
      <c r="D13" s="11">
        <v>1</v>
      </c>
      <c r="E13" s="11">
        <v>2</v>
      </c>
      <c r="F13" s="20" t="str">
        <f>IF(C13&lt;=0,"Poor",IF(C13&lt;=1,"Good","Excellent"))</f>
        <v>Good</v>
      </c>
      <c r="G13" s="20" t="str">
        <f>IF(D13&lt;=0,"Poor",IF(D13&lt;=1,"Good","Excellent"))</f>
        <v>Good</v>
      </c>
      <c r="H13" s="20" t="str">
        <f>IF(E13&lt;=0,"Poor",IF(E13&lt;=1,"Good","Excellent"))</f>
        <v>Excellent</v>
      </c>
    </row>
    <row r="14" spans="1:8" x14ac:dyDescent="0.3">
      <c r="A14" s="8" t="s">
        <v>25</v>
      </c>
      <c r="B14" s="8">
        <v>135079</v>
      </c>
      <c r="C14" s="11">
        <v>1</v>
      </c>
      <c r="D14" s="11">
        <v>1</v>
      </c>
      <c r="E14" s="11">
        <v>1</v>
      </c>
      <c r="F14" s="20" t="str">
        <f>IF(C14&lt;=0,"Poor",IF(C14&lt;=1,"Good","Excellent"))</f>
        <v>Good</v>
      </c>
      <c r="G14" s="20" t="str">
        <f>IF(D14&lt;=0,"Poor",IF(D14&lt;=1,"Good","Excellent"))</f>
        <v>Good</v>
      </c>
      <c r="H14" s="20" t="str">
        <f>IF(E14&lt;=0,"Poor",IF(E14&lt;=1,"Good","Excellent"))</f>
        <v>Good</v>
      </c>
    </row>
    <row r="15" spans="1:8" x14ac:dyDescent="0.3">
      <c r="A15" s="8" t="s">
        <v>26</v>
      </c>
      <c r="B15" s="8">
        <v>135076</v>
      </c>
      <c r="C15" s="11">
        <v>1</v>
      </c>
      <c r="D15" s="11">
        <v>2</v>
      </c>
      <c r="E15" s="11">
        <v>1</v>
      </c>
      <c r="F15" s="20" t="str">
        <f>IF(C15&lt;=0,"Poor",IF(C15&lt;=1,"Good","Excellent"))</f>
        <v>Good</v>
      </c>
      <c r="G15" s="20" t="str">
        <f>IF(D15&lt;=0,"Poor",IF(D15&lt;=1,"Good","Excellent"))</f>
        <v>Excellent</v>
      </c>
      <c r="H15" s="20" t="str">
        <f>IF(E15&lt;=0,"Poor",IF(E15&lt;=1,"Good","Excellent"))</f>
        <v>Good</v>
      </c>
    </row>
    <row r="16" spans="1:8" x14ac:dyDescent="0.3">
      <c r="A16" s="8" t="s">
        <v>27</v>
      </c>
      <c r="B16" s="8">
        <v>135071</v>
      </c>
      <c r="C16" s="11">
        <v>0</v>
      </c>
      <c r="D16" s="11">
        <v>0</v>
      </c>
      <c r="E16" s="11">
        <v>0</v>
      </c>
      <c r="F16" s="20" t="str">
        <f>IF(C16&lt;=0,"Poor",IF(C16&lt;=1,"Good","Excellent"))</f>
        <v>Poor</v>
      </c>
      <c r="G16" s="20" t="str">
        <f>IF(D16&lt;=0,"Poor",IF(D16&lt;=1,"Good","Excellent"))</f>
        <v>Poor</v>
      </c>
      <c r="H16" s="20" t="str">
        <f>IF(E16&lt;=0,"Poor",IF(E16&lt;=1,"Good","Excellent"))</f>
        <v>Poor</v>
      </c>
    </row>
    <row r="17" spans="1:8" x14ac:dyDescent="0.3">
      <c r="A17" s="8" t="s">
        <v>28</v>
      </c>
      <c r="B17" s="8">
        <v>132834</v>
      </c>
      <c r="C17" s="11">
        <v>2</v>
      </c>
      <c r="D17" s="11">
        <v>2</v>
      </c>
      <c r="E17" s="11">
        <v>2</v>
      </c>
      <c r="F17" s="20" t="str">
        <f>IF(C17&lt;=0,"Poor",IF(C17&lt;=1,"Good","Excellent"))</f>
        <v>Excellent</v>
      </c>
      <c r="G17" s="20" t="str">
        <f>IF(D17&lt;=0,"Poor",IF(D17&lt;=1,"Good","Excellent"))</f>
        <v>Excellent</v>
      </c>
      <c r="H17" s="20" t="str">
        <f>IF(E17&lt;=0,"Poor",IF(E17&lt;=1,"Good","Excellent"))</f>
        <v>Excellent</v>
      </c>
    </row>
    <row r="18" spans="1:8" x14ac:dyDescent="0.3">
      <c r="A18" s="8" t="s">
        <v>31</v>
      </c>
      <c r="B18" s="8">
        <v>132768</v>
      </c>
      <c r="C18" s="11">
        <v>1</v>
      </c>
      <c r="D18" s="11">
        <v>1</v>
      </c>
      <c r="E18" s="11">
        <v>1</v>
      </c>
      <c r="F18" s="20" t="str">
        <f>IF(C18&lt;=0,"Poor",IF(C18&lt;=1,"Good","Excellent"))</f>
        <v>Good</v>
      </c>
      <c r="G18" s="20" t="str">
        <f>IF(D18&lt;=0,"Poor",IF(D18&lt;=1,"Good","Excellent"))</f>
        <v>Good</v>
      </c>
      <c r="H18" s="20" t="str">
        <f>IF(E18&lt;=0,"Poor",IF(E18&lt;=1,"Good","Excellent"))</f>
        <v>Good</v>
      </c>
    </row>
    <row r="19" spans="1:8" x14ac:dyDescent="0.3">
      <c r="A19" s="8" t="s">
        <v>33</v>
      </c>
      <c r="B19" s="8">
        <v>135043</v>
      </c>
      <c r="C19" s="11">
        <v>0</v>
      </c>
      <c r="D19" s="11">
        <v>0</v>
      </c>
      <c r="E19" s="11">
        <v>0</v>
      </c>
      <c r="F19" s="20" t="str">
        <f>IF(C19&lt;=0,"Poor",IF(C19&lt;=1,"Good","Excellent"))</f>
        <v>Poor</v>
      </c>
      <c r="G19" s="20" t="str">
        <f>IF(D19&lt;=0,"Poor",IF(D19&lt;=1,"Good","Excellent"))</f>
        <v>Poor</v>
      </c>
      <c r="H19" s="20" t="str">
        <f>IF(E19&lt;=0,"Poor",IF(E19&lt;=1,"Good","Excellent"))</f>
        <v>Poor</v>
      </c>
    </row>
    <row r="20" spans="1:8" x14ac:dyDescent="0.3">
      <c r="A20" s="8" t="s">
        <v>34</v>
      </c>
      <c r="B20" s="8">
        <v>132830</v>
      </c>
      <c r="C20" s="11">
        <v>0</v>
      </c>
      <c r="D20" s="11">
        <v>0</v>
      </c>
      <c r="E20" s="11">
        <v>0</v>
      </c>
      <c r="F20" s="20" t="str">
        <f>IF(C20&lt;=0,"Poor",IF(C20&lt;=1,"Good","Excellent"))</f>
        <v>Poor</v>
      </c>
      <c r="G20" s="20" t="str">
        <f>IF(D20&lt;=0,"Poor",IF(D20&lt;=1,"Good","Excellent"))</f>
        <v>Poor</v>
      </c>
      <c r="H20" s="20" t="str">
        <f>IF(E20&lt;=0,"Poor",IF(E20&lt;=1,"Good","Excellent"))</f>
        <v>Poor</v>
      </c>
    </row>
    <row r="21" spans="1:8" x14ac:dyDescent="0.3">
      <c r="A21" s="8" t="s">
        <v>35</v>
      </c>
      <c r="B21" s="8">
        <v>135088</v>
      </c>
      <c r="C21" s="11">
        <v>1</v>
      </c>
      <c r="D21" s="11">
        <v>2</v>
      </c>
      <c r="E21" s="11">
        <v>0</v>
      </c>
      <c r="F21" s="20" t="str">
        <f>IF(C21&lt;=0,"Poor",IF(C21&lt;=1,"Good","Excellent"))</f>
        <v>Good</v>
      </c>
      <c r="G21" s="20" t="str">
        <f>IF(D21&lt;=0,"Poor",IF(D21&lt;=1,"Good","Excellent"))</f>
        <v>Excellent</v>
      </c>
      <c r="H21" s="20" t="str">
        <f>IF(E21&lt;=0,"Poor",IF(E21&lt;=1,"Good","Excellent"))</f>
        <v>Poor</v>
      </c>
    </row>
    <row r="22" spans="1:8" x14ac:dyDescent="0.3">
      <c r="A22" s="8" t="s">
        <v>36</v>
      </c>
      <c r="B22" s="8">
        <v>132740</v>
      </c>
      <c r="C22" s="11">
        <v>2</v>
      </c>
      <c r="D22" s="11">
        <v>2</v>
      </c>
      <c r="E22" s="11">
        <v>1</v>
      </c>
      <c r="F22" s="20" t="str">
        <f>IF(C22&lt;=0,"Poor",IF(C22&lt;=1,"Good","Excellent"))</f>
        <v>Excellent</v>
      </c>
      <c r="G22" s="20" t="str">
        <f>IF(D22&lt;=0,"Poor",IF(D22&lt;=1,"Good","Excellent"))</f>
        <v>Excellent</v>
      </c>
      <c r="H22" s="20" t="str">
        <f>IF(E22&lt;=0,"Poor",IF(E22&lt;=1,"Good","Excellent"))</f>
        <v>Good</v>
      </c>
    </row>
    <row r="23" spans="1:8" x14ac:dyDescent="0.3">
      <c r="A23" s="8" t="s">
        <v>39</v>
      </c>
      <c r="B23" s="8">
        <v>135040</v>
      </c>
      <c r="C23" s="11">
        <v>0</v>
      </c>
      <c r="D23" s="11">
        <v>0</v>
      </c>
      <c r="E23" s="11">
        <v>0</v>
      </c>
      <c r="F23" s="20" t="str">
        <f>IF(C23&lt;=0,"Poor",IF(C23&lt;=1,"Good","Excellent"))</f>
        <v>Poor</v>
      </c>
      <c r="G23" s="20" t="str">
        <f>IF(D23&lt;=0,"Poor",IF(D23&lt;=1,"Good","Excellent"))</f>
        <v>Poor</v>
      </c>
      <c r="H23" s="20" t="str">
        <f>IF(E23&lt;=0,"Poor",IF(E23&lt;=1,"Good","Excellent"))</f>
        <v>Poor</v>
      </c>
    </row>
    <row r="24" spans="1:8" x14ac:dyDescent="0.3">
      <c r="A24" s="8" t="s">
        <v>40</v>
      </c>
      <c r="B24" s="8">
        <v>132715</v>
      </c>
      <c r="C24" s="11">
        <v>0</v>
      </c>
      <c r="D24" s="11">
        <v>0</v>
      </c>
      <c r="E24" s="11">
        <v>0</v>
      </c>
      <c r="F24" s="20" t="str">
        <f>IF(C24&lt;=0,"Poor",IF(C24&lt;=1,"Good","Excellent"))</f>
        <v>Poor</v>
      </c>
      <c r="G24" s="20" t="str">
        <f>IF(D24&lt;=0,"Poor",IF(D24&lt;=1,"Good","Excellent"))</f>
        <v>Poor</v>
      </c>
      <c r="H24" s="20" t="str">
        <f>IF(E24&lt;=0,"Poor",IF(E24&lt;=1,"Good","Excellent"))</f>
        <v>Poor</v>
      </c>
    </row>
    <row r="25" spans="1:8" x14ac:dyDescent="0.3">
      <c r="A25" s="8" t="s">
        <v>41</v>
      </c>
      <c r="B25" s="8">
        <v>132834</v>
      </c>
      <c r="C25" s="11">
        <v>1</v>
      </c>
      <c r="D25" s="11">
        <v>1</v>
      </c>
      <c r="E25" s="11">
        <v>1</v>
      </c>
      <c r="F25" s="20" t="str">
        <f>IF(C25&lt;=0,"Poor",IF(C25&lt;=1,"Good","Excellent"))</f>
        <v>Good</v>
      </c>
      <c r="G25" s="20" t="str">
        <f>IF(D25&lt;=0,"Poor",IF(D25&lt;=1,"Good","Excellent"))</f>
        <v>Good</v>
      </c>
      <c r="H25" s="20" t="str">
        <f>IF(E25&lt;=0,"Poor",IF(E25&lt;=1,"Good","Excellent"))</f>
        <v>Good</v>
      </c>
    </row>
    <row r="26" spans="1:8" x14ac:dyDescent="0.3">
      <c r="A26" s="8" t="s">
        <v>43</v>
      </c>
      <c r="B26" s="8">
        <v>132866</v>
      </c>
      <c r="C26" s="11">
        <v>2</v>
      </c>
      <c r="D26" s="11">
        <v>1</v>
      </c>
      <c r="E26" s="11">
        <v>2</v>
      </c>
      <c r="F26" s="20" t="str">
        <f>IF(C26&lt;=0,"Poor",IF(C26&lt;=1,"Good","Excellent"))</f>
        <v>Excellent</v>
      </c>
      <c r="G26" s="20" t="str">
        <f>IF(D26&lt;=0,"Poor",IF(D26&lt;=1,"Good","Excellent"))</f>
        <v>Good</v>
      </c>
      <c r="H26" s="20" t="str">
        <f>IF(E26&lt;=0,"Poor",IF(E26&lt;=1,"Good","Excellent"))</f>
        <v>Excellent</v>
      </c>
    </row>
    <row r="27" spans="1:8" x14ac:dyDescent="0.3">
      <c r="A27" s="8" t="s">
        <v>44</v>
      </c>
      <c r="B27" s="8">
        <v>132626</v>
      </c>
      <c r="C27" s="11">
        <v>2</v>
      </c>
      <c r="D27" s="11">
        <v>2</v>
      </c>
      <c r="E27" s="11">
        <v>2</v>
      </c>
      <c r="F27" s="20" t="str">
        <f>IF(C27&lt;=0,"Poor",IF(C27&lt;=1,"Good","Excellent"))</f>
        <v>Excellent</v>
      </c>
      <c r="G27" s="20" t="str">
        <f>IF(D27&lt;=0,"Poor",IF(D27&lt;=1,"Good","Excellent"))</f>
        <v>Excellent</v>
      </c>
      <c r="H27" s="20" t="str">
        <f>IF(E27&lt;=0,"Poor",IF(E27&lt;=1,"Good","Excellent"))</f>
        <v>Excellent</v>
      </c>
    </row>
    <row r="28" spans="1:8" x14ac:dyDescent="0.3">
      <c r="A28" s="8" t="s">
        <v>45</v>
      </c>
      <c r="B28" s="8">
        <v>135066</v>
      </c>
      <c r="C28" s="11">
        <v>0</v>
      </c>
      <c r="D28" s="11">
        <v>0</v>
      </c>
      <c r="E28" s="11">
        <v>0</v>
      </c>
      <c r="F28" s="20" t="str">
        <f>IF(C28&lt;=0,"Poor",IF(C28&lt;=1,"Good","Excellent"))</f>
        <v>Poor</v>
      </c>
      <c r="G28" s="20" t="str">
        <f>IF(D28&lt;=0,"Poor",IF(D28&lt;=1,"Good","Excellent"))</f>
        <v>Poor</v>
      </c>
      <c r="H28" s="20" t="str">
        <f>IF(E28&lt;=0,"Poor",IF(E28&lt;=1,"Good","Excellent"))</f>
        <v>Poor</v>
      </c>
    </row>
    <row r="29" spans="1:8" x14ac:dyDescent="0.3">
      <c r="A29" s="8" t="s">
        <v>46</v>
      </c>
      <c r="B29" s="8">
        <v>132732</v>
      </c>
      <c r="C29" s="11">
        <v>1</v>
      </c>
      <c r="D29" s="11">
        <v>1</v>
      </c>
      <c r="E29" s="11">
        <v>1</v>
      </c>
      <c r="F29" s="20" t="str">
        <f>IF(C29&lt;=0,"Poor",IF(C29&lt;=1,"Good","Excellent"))</f>
        <v>Good</v>
      </c>
      <c r="G29" s="20" t="str">
        <f>IF(D29&lt;=0,"Poor",IF(D29&lt;=1,"Good","Excellent"))</f>
        <v>Good</v>
      </c>
      <c r="H29" s="20" t="str">
        <f>IF(E29&lt;=0,"Poor",IF(E29&lt;=1,"Good","Excellent"))</f>
        <v>Good</v>
      </c>
    </row>
    <row r="30" spans="1:8" x14ac:dyDescent="0.3">
      <c r="A30" s="8" t="s">
        <v>47</v>
      </c>
      <c r="B30" s="8">
        <v>135047</v>
      </c>
      <c r="C30" s="11">
        <v>1</v>
      </c>
      <c r="D30" s="11">
        <v>1</v>
      </c>
      <c r="E30" s="11">
        <v>1</v>
      </c>
      <c r="F30" s="20" t="str">
        <f>IF(C30&lt;=0,"Poor",IF(C30&lt;=1,"Good","Excellent"))</f>
        <v>Good</v>
      </c>
      <c r="G30" s="20" t="str">
        <f>IF(D30&lt;=0,"Poor",IF(D30&lt;=1,"Good","Excellent"))</f>
        <v>Good</v>
      </c>
      <c r="H30" s="20" t="str">
        <f>IF(E30&lt;=0,"Poor",IF(E30&lt;=1,"Good","Excellent"))</f>
        <v>Good</v>
      </c>
    </row>
    <row r="31" spans="1:8" x14ac:dyDescent="0.3">
      <c r="A31" s="8" t="s">
        <v>48</v>
      </c>
      <c r="B31" s="8">
        <v>135018</v>
      </c>
      <c r="C31" s="11">
        <v>2</v>
      </c>
      <c r="D31" s="11">
        <v>2</v>
      </c>
      <c r="E31" s="11">
        <v>2</v>
      </c>
      <c r="F31" s="20" t="str">
        <f>IF(C31&lt;=0,"Poor",IF(C31&lt;=1,"Good","Excellent"))</f>
        <v>Excellent</v>
      </c>
      <c r="G31" s="20" t="str">
        <f>IF(D31&lt;=0,"Poor",IF(D31&lt;=1,"Good","Excellent"))</f>
        <v>Excellent</v>
      </c>
      <c r="H31" s="20" t="str">
        <f>IF(E31&lt;=0,"Poor",IF(E31&lt;=1,"Good","Excellent"))</f>
        <v>Excellent</v>
      </c>
    </row>
    <row r="32" spans="1:8" x14ac:dyDescent="0.3">
      <c r="A32" s="8" t="s">
        <v>49</v>
      </c>
      <c r="B32" s="8">
        <v>132663</v>
      </c>
      <c r="C32" s="11">
        <v>0</v>
      </c>
      <c r="D32" s="11">
        <v>0</v>
      </c>
      <c r="E32" s="11">
        <v>0</v>
      </c>
      <c r="F32" s="20" t="str">
        <f>IF(C32&lt;=0,"Poor",IF(C32&lt;=1,"Good","Excellent"))</f>
        <v>Poor</v>
      </c>
      <c r="G32" s="20" t="str">
        <f>IF(D32&lt;=0,"Poor",IF(D32&lt;=1,"Good","Excellent"))</f>
        <v>Poor</v>
      </c>
      <c r="H32" s="20" t="str">
        <f>IF(E32&lt;=0,"Poor",IF(E32&lt;=1,"Good","Excellent"))</f>
        <v>Poor</v>
      </c>
    </row>
    <row r="33" spans="1:8" x14ac:dyDescent="0.3">
      <c r="A33" s="8" t="s">
        <v>50</v>
      </c>
      <c r="B33" s="8">
        <v>132872</v>
      </c>
      <c r="C33" s="11">
        <v>1</v>
      </c>
      <c r="D33" s="11">
        <v>1</v>
      </c>
      <c r="E33" s="11">
        <v>1</v>
      </c>
      <c r="F33" s="20" t="str">
        <f>IF(C33&lt;=0,"Poor",IF(C33&lt;=1,"Good","Excellent"))</f>
        <v>Good</v>
      </c>
      <c r="G33" s="20" t="str">
        <f>IF(D33&lt;=0,"Poor",IF(D33&lt;=1,"Good","Excellent"))</f>
        <v>Good</v>
      </c>
      <c r="H33" s="20" t="str">
        <f>IF(E33&lt;=0,"Poor",IF(E33&lt;=1,"Good","Excellent"))</f>
        <v>Good</v>
      </c>
    </row>
    <row r="34" spans="1:8" x14ac:dyDescent="0.3">
      <c r="A34" s="8" t="s">
        <v>51</v>
      </c>
      <c r="B34" s="8">
        <v>135065</v>
      </c>
      <c r="C34" s="11">
        <v>1</v>
      </c>
      <c r="D34" s="11">
        <v>1</v>
      </c>
      <c r="E34" s="11">
        <v>1</v>
      </c>
      <c r="F34" s="20" t="str">
        <f>IF(C34&lt;=0,"Poor",IF(C34&lt;=1,"Good","Excellent"))</f>
        <v>Good</v>
      </c>
      <c r="G34" s="20" t="str">
        <f>IF(D34&lt;=0,"Poor",IF(D34&lt;=1,"Good","Excellent"))</f>
        <v>Good</v>
      </c>
      <c r="H34" s="20" t="str">
        <f>IF(E34&lt;=0,"Poor",IF(E34&lt;=1,"Good","Excellent"))</f>
        <v>Good</v>
      </c>
    </row>
    <row r="35" spans="1:8" x14ac:dyDescent="0.3">
      <c r="A35" s="8" t="s">
        <v>52</v>
      </c>
      <c r="B35" s="8">
        <v>135086</v>
      </c>
      <c r="C35" s="11">
        <v>1</v>
      </c>
      <c r="D35" s="11">
        <v>1</v>
      </c>
      <c r="E35" s="11">
        <v>1</v>
      </c>
      <c r="F35" s="20" t="str">
        <f>IF(C35&lt;=0,"Poor",IF(C35&lt;=1,"Good","Excellent"))</f>
        <v>Good</v>
      </c>
      <c r="G35" s="20" t="str">
        <f>IF(D35&lt;=0,"Poor",IF(D35&lt;=1,"Good","Excellent"))</f>
        <v>Good</v>
      </c>
      <c r="H35" s="20" t="str">
        <f>IF(E35&lt;=0,"Poor",IF(E35&lt;=1,"Good","Excellent"))</f>
        <v>Good</v>
      </c>
    </row>
    <row r="36" spans="1:8" x14ac:dyDescent="0.3">
      <c r="A36" s="8" t="s">
        <v>53</v>
      </c>
      <c r="B36" s="8">
        <v>135018</v>
      </c>
      <c r="C36" s="11">
        <v>1</v>
      </c>
      <c r="D36" s="11">
        <v>2</v>
      </c>
      <c r="E36" s="11">
        <v>1</v>
      </c>
      <c r="F36" s="20" t="str">
        <f>IF(C36&lt;=0,"Poor",IF(C36&lt;=1,"Good","Excellent"))</f>
        <v>Good</v>
      </c>
      <c r="G36" s="20" t="str">
        <f>IF(D36&lt;=0,"Poor",IF(D36&lt;=1,"Good","Excellent"))</f>
        <v>Excellent</v>
      </c>
      <c r="H36" s="20" t="str">
        <f>IF(E36&lt;=0,"Poor",IF(E36&lt;=1,"Good","Excellent"))</f>
        <v>Good</v>
      </c>
    </row>
    <row r="37" spans="1:8" x14ac:dyDescent="0.3">
      <c r="A37" s="8" t="s">
        <v>54</v>
      </c>
      <c r="B37" s="8">
        <v>132834</v>
      </c>
      <c r="C37" s="11">
        <v>1</v>
      </c>
      <c r="D37" s="11">
        <v>2</v>
      </c>
      <c r="E37" s="11">
        <v>2</v>
      </c>
      <c r="F37" s="20" t="str">
        <f>IF(C37&lt;=0,"Poor",IF(C37&lt;=1,"Good","Excellent"))</f>
        <v>Good</v>
      </c>
      <c r="G37" s="20" t="str">
        <f>IF(D37&lt;=0,"Poor",IF(D37&lt;=1,"Good","Excellent"))</f>
        <v>Excellent</v>
      </c>
      <c r="H37" s="20" t="str">
        <f>IF(E37&lt;=0,"Poor",IF(E37&lt;=1,"Good","Excellent"))</f>
        <v>Excellent</v>
      </c>
    </row>
    <row r="38" spans="1:8" x14ac:dyDescent="0.3">
      <c r="A38" s="8" t="s">
        <v>55</v>
      </c>
      <c r="B38" s="8">
        <v>135054</v>
      </c>
      <c r="C38" s="11">
        <v>2</v>
      </c>
      <c r="D38" s="11">
        <v>1</v>
      </c>
      <c r="E38" s="11">
        <v>1</v>
      </c>
      <c r="F38" s="20" t="str">
        <f>IF(C38&lt;=0,"Poor",IF(C38&lt;=1,"Good","Excellent"))</f>
        <v>Excellent</v>
      </c>
      <c r="G38" s="20" t="str">
        <f>IF(D38&lt;=0,"Poor",IF(D38&lt;=1,"Good","Excellent"))</f>
        <v>Good</v>
      </c>
      <c r="H38" s="20" t="str">
        <f>IF(E38&lt;=0,"Poor",IF(E38&lt;=1,"Good","Excellent"))</f>
        <v>Good</v>
      </c>
    </row>
    <row r="39" spans="1:8" x14ac:dyDescent="0.3">
      <c r="A39" s="8" t="s">
        <v>56</v>
      </c>
      <c r="B39" s="8">
        <v>132854</v>
      </c>
      <c r="C39" s="11">
        <v>1</v>
      </c>
      <c r="D39" s="11">
        <v>2</v>
      </c>
      <c r="E39" s="11">
        <v>2</v>
      </c>
      <c r="F39" s="20" t="str">
        <f>IF(C39&lt;=0,"Poor",IF(C39&lt;=1,"Good","Excellent"))</f>
        <v>Good</v>
      </c>
      <c r="G39" s="20" t="str">
        <f>IF(D39&lt;=0,"Poor",IF(D39&lt;=1,"Good","Excellent"))</f>
        <v>Excellent</v>
      </c>
      <c r="H39" s="20" t="str">
        <f>IF(E39&lt;=0,"Poor",IF(E39&lt;=1,"Good","Excellent"))</f>
        <v>Excellent</v>
      </c>
    </row>
    <row r="40" spans="1:8" x14ac:dyDescent="0.3">
      <c r="A40" s="8" t="s">
        <v>57</v>
      </c>
      <c r="B40" s="8">
        <v>132626</v>
      </c>
      <c r="C40" s="11">
        <v>2</v>
      </c>
      <c r="D40" s="11">
        <v>2</v>
      </c>
      <c r="E40" s="11">
        <v>1</v>
      </c>
      <c r="F40" s="20" t="str">
        <f>IF(C40&lt;=0,"Poor",IF(C40&lt;=1,"Good","Excellent"))</f>
        <v>Excellent</v>
      </c>
      <c r="G40" s="20" t="str">
        <f>IF(D40&lt;=0,"Poor",IF(D40&lt;=1,"Good","Excellent"))</f>
        <v>Excellent</v>
      </c>
      <c r="H40" s="20" t="str">
        <f>IF(E40&lt;=0,"Poor",IF(E40&lt;=1,"Good","Excellent"))</f>
        <v>Good</v>
      </c>
    </row>
    <row r="41" spans="1:8" x14ac:dyDescent="0.3">
      <c r="A41" s="8" t="s">
        <v>58</v>
      </c>
      <c r="B41" s="8">
        <v>132773</v>
      </c>
      <c r="C41" s="11">
        <v>1</v>
      </c>
      <c r="D41" s="11">
        <v>1</v>
      </c>
      <c r="E41" s="11">
        <v>1</v>
      </c>
      <c r="F41" s="20" t="str">
        <f>IF(C41&lt;=0,"Poor",IF(C41&lt;=1,"Good","Excellent"))</f>
        <v>Good</v>
      </c>
      <c r="G41" s="20" t="str">
        <f>IF(D41&lt;=0,"Poor",IF(D41&lt;=1,"Good","Excellent"))</f>
        <v>Good</v>
      </c>
      <c r="H41" s="20" t="str">
        <f>IF(E41&lt;=0,"Poor",IF(E41&lt;=1,"Good","Excellent"))</f>
        <v>Good</v>
      </c>
    </row>
    <row r="42" spans="1:8" x14ac:dyDescent="0.3">
      <c r="A42" s="8" t="s">
        <v>59</v>
      </c>
      <c r="B42" s="8">
        <v>135001</v>
      </c>
      <c r="C42" s="11">
        <v>1</v>
      </c>
      <c r="D42" s="11">
        <v>1</v>
      </c>
      <c r="E42" s="11">
        <v>1</v>
      </c>
      <c r="F42" s="20" t="str">
        <f>IF(C42&lt;=0,"Poor",IF(C42&lt;=1,"Good","Excellent"))</f>
        <v>Good</v>
      </c>
      <c r="G42" s="20" t="str">
        <f>IF(D42&lt;=0,"Poor",IF(D42&lt;=1,"Good","Excellent"))</f>
        <v>Good</v>
      </c>
      <c r="H42" s="20" t="str">
        <f>IF(E42&lt;=0,"Poor",IF(E42&lt;=1,"Good","Excellent"))</f>
        <v>Good</v>
      </c>
    </row>
    <row r="43" spans="1:8" x14ac:dyDescent="0.3">
      <c r="A43" s="8" t="s">
        <v>60</v>
      </c>
      <c r="B43" s="8">
        <v>132768</v>
      </c>
      <c r="C43" s="11">
        <v>2</v>
      </c>
      <c r="D43" s="11">
        <v>2</v>
      </c>
      <c r="E43" s="11">
        <v>1</v>
      </c>
      <c r="F43" s="20" t="str">
        <f>IF(C43&lt;=0,"Poor",IF(C43&lt;=1,"Good","Excellent"))</f>
        <v>Excellent</v>
      </c>
      <c r="G43" s="20" t="str">
        <f>IF(D43&lt;=0,"Poor",IF(D43&lt;=1,"Good","Excellent"))</f>
        <v>Excellent</v>
      </c>
      <c r="H43" s="20" t="str">
        <f>IF(E43&lt;=0,"Poor",IF(E43&lt;=1,"Good","Excellent"))</f>
        <v>Good</v>
      </c>
    </row>
    <row r="44" spans="1:8" x14ac:dyDescent="0.3">
      <c r="A44" s="8" t="s">
        <v>61</v>
      </c>
      <c r="B44" s="8">
        <v>132608</v>
      </c>
      <c r="C44" s="11">
        <v>1</v>
      </c>
      <c r="D44" s="11">
        <v>1</v>
      </c>
      <c r="E44" s="11">
        <v>1</v>
      </c>
      <c r="F44" s="20" t="str">
        <f>IF(C44&lt;=0,"Poor",IF(C44&lt;=1,"Good","Excellent"))</f>
        <v>Good</v>
      </c>
      <c r="G44" s="20" t="str">
        <f>IF(D44&lt;=0,"Poor",IF(D44&lt;=1,"Good","Excellent"))</f>
        <v>Good</v>
      </c>
      <c r="H44" s="20" t="str">
        <f>IF(E44&lt;=0,"Poor",IF(E44&lt;=1,"Good","Excellent"))</f>
        <v>Good</v>
      </c>
    </row>
    <row r="45" spans="1:8" x14ac:dyDescent="0.3">
      <c r="A45" s="8" t="s">
        <v>62</v>
      </c>
      <c r="B45" s="8">
        <v>135088</v>
      </c>
      <c r="C45" s="11">
        <v>2</v>
      </c>
      <c r="D45" s="11">
        <v>2</v>
      </c>
      <c r="E45" s="11">
        <v>2</v>
      </c>
      <c r="F45" s="20" t="str">
        <f>IF(C45&lt;=0,"Poor",IF(C45&lt;=1,"Good","Excellent"))</f>
        <v>Excellent</v>
      </c>
      <c r="G45" s="20" t="str">
        <f>IF(D45&lt;=0,"Poor",IF(D45&lt;=1,"Good","Excellent"))</f>
        <v>Excellent</v>
      </c>
      <c r="H45" s="20" t="str">
        <f>IF(E45&lt;=0,"Poor",IF(E45&lt;=1,"Good","Excellent"))</f>
        <v>Excellent</v>
      </c>
    </row>
    <row r="46" spans="1:8" x14ac:dyDescent="0.3">
      <c r="A46" s="8" t="s">
        <v>63</v>
      </c>
      <c r="B46" s="8">
        <v>132825</v>
      </c>
      <c r="C46" s="11">
        <v>2</v>
      </c>
      <c r="D46" s="11">
        <v>1</v>
      </c>
      <c r="E46" s="11">
        <v>1</v>
      </c>
      <c r="F46" s="20" t="str">
        <f>IF(C46&lt;=0,"Poor",IF(C46&lt;=1,"Good","Excellent"))</f>
        <v>Excellent</v>
      </c>
      <c r="G46" s="20" t="str">
        <f>IF(D46&lt;=0,"Poor",IF(D46&lt;=1,"Good","Excellent"))</f>
        <v>Good</v>
      </c>
      <c r="H46" s="20" t="str">
        <f>IF(E46&lt;=0,"Poor",IF(E46&lt;=1,"Good","Excellent"))</f>
        <v>Good</v>
      </c>
    </row>
    <row r="47" spans="1:8" x14ac:dyDescent="0.3">
      <c r="A47" s="8" t="s">
        <v>65</v>
      </c>
      <c r="B47" s="8">
        <v>135026</v>
      </c>
      <c r="C47" s="11">
        <v>1</v>
      </c>
      <c r="D47" s="11">
        <v>0</v>
      </c>
      <c r="E47" s="11">
        <v>2</v>
      </c>
      <c r="F47" s="20" t="str">
        <f>IF(C47&lt;=0,"Poor",IF(C47&lt;=1,"Good","Excellent"))</f>
        <v>Good</v>
      </c>
      <c r="G47" s="20" t="str">
        <f>IF(D47&lt;=0,"Poor",IF(D47&lt;=1,"Good","Excellent"))</f>
        <v>Poor</v>
      </c>
      <c r="H47" s="20" t="str">
        <f>IF(E47&lt;=0,"Poor",IF(E47&lt;=1,"Good","Excellent"))</f>
        <v>Excellent</v>
      </c>
    </row>
    <row r="48" spans="1:8" x14ac:dyDescent="0.3">
      <c r="A48" s="8" t="s">
        <v>67</v>
      </c>
      <c r="B48" s="8">
        <v>132875</v>
      </c>
      <c r="C48" s="11">
        <v>0</v>
      </c>
      <c r="D48" s="11">
        <v>0</v>
      </c>
      <c r="E48" s="11">
        <v>0</v>
      </c>
      <c r="F48" s="20" t="str">
        <f>IF(C48&lt;=0,"Poor",IF(C48&lt;=1,"Good","Excellent"))</f>
        <v>Poor</v>
      </c>
      <c r="G48" s="20" t="str">
        <f>IF(D48&lt;=0,"Poor",IF(D48&lt;=1,"Good","Excellent"))</f>
        <v>Poor</v>
      </c>
      <c r="H48" s="20" t="str">
        <f>IF(E48&lt;=0,"Poor",IF(E48&lt;=1,"Good","Excellent"))</f>
        <v>Poor</v>
      </c>
    </row>
    <row r="49" spans="1:8" x14ac:dyDescent="0.3">
      <c r="A49" s="8" t="s">
        <v>68</v>
      </c>
      <c r="B49" s="8">
        <v>135049</v>
      </c>
      <c r="C49" s="11">
        <v>1</v>
      </c>
      <c r="D49" s="11">
        <v>0</v>
      </c>
      <c r="E49" s="11">
        <v>2</v>
      </c>
      <c r="F49" s="20" t="str">
        <f>IF(C49&lt;=0,"Poor",IF(C49&lt;=1,"Good","Excellent"))</f>
        <v>Good</v>
      </c>
      <c r="G49" s="20" t="str">
        <f>IF(D49&lt;=0,"Poor",IF(D49&lt;=1,"Good","Excellent"))</f>
        <v>Poor</v>
      </c>
      <c r="H49" s="20" t="str">
        <f>IF(E49&lt;=0,"Poor",IF(E49&lt;=1,"Good","Excellent"))</f>
        <v>Excellent</v>
      </c>
    </row>
    <row r="50" spans="1:8" x14ac:dyDescent="0.3">
      <c r="A50" s="8" t="s">
        <v>69</v>
      </c>
      <c r="B50" s="8">
        <v>132825</v>
      </c>
      <c r="C50" s="11">
        <v>0</v>
      </c>
      <c r="D50" s="11">
        <v>0</v>
      </c>
      <c r="E50" s="11">
        <v>0</v>
      </c>
      <c r="F50" s="20" t="str">
        <f>IF(C50&lt;=0,"Poor",IF(C50&lt;=1,"Good","Excellent"))</f>
        <v>Poor</v>
      </c>
      <c r="G50" s="20" t="str">
        <f>IF(D50&lt;=0,"Poor",IF(D50&lt;=1,"Good","Excellent"))</f>
        <v>Poor</v>
      </c>
      <c r="H50" s="20" t="str">
        <f>IF(E50&lt;=0,"Poor",IF(E50&lt;=1,"Good","Excellent"))</f>
        <v>Poor</v>
      </c>
    </row>
    <row r="51" spans="1:8" x14ac:dyDescent="0.3">
      <c r="A51" s="8" t="s">
        <v>70</v>
      </c>
      <c r="B51" s="8">
        <v>132732</v>
      </c>
      <c r="C51" s="11">
        <v>0</v>
      </c>
      <c r="D51" s="11">
        <v>1</v>
      </c>
      <c r="E51" s="11">
        <v>1</v>
      </c>
      <c r="F51" s="20" t="str">
        <f>IF(C51&lt;=0,"Poor",IF(C51&lt;=1,"Good","Excellent"))</f>
        <v>Poor</v>
      </c>
      <c r="G51" s="20" t="str">
        <f>IF(D51&lt;=0,"Poor",IF(D51&lt;=1,"Good","Excellent"))</f>
        <v>Good</v>
      </c>
      <c r="H51" s="20" t="str">
        <f>IF(E51&lt;=0,"Poor",IF(E51&lt;=1,"Good","Excellent"))</f>
        <v>Good</v>
      </c>
    </row>
    <row r="52" spans="1:8" x14ac:dyDescent="0.3">
      <c r="A52" s="8" t="s">
        <v>71</v>
      </c>
      <c r="B52" s="8">
        <v>135088</v>
      </c>
      <c r="C52" s="11">
        <v>1</v>
      </c>
      <c r="D52" s="11">
        <v>1</v>
      </c>
      <c r="E52" s="11">
        <v>1</v>
      </c>
      <c r="F52" s="20" t="str">
        <f>IF(C52&lt;=0,"Poor",IF(C52&lt;=1,"Good","Excellent"))</f>
        <v>Good</v>
      </c>
      <c r="G52" s="20" t="str">
        <f>IF(D52&lt;=0,"Poor",IF(D52&lt;=1,"Good","Excellent"))</f>
        <v>Good</v>
      </c>
      <c r="H52" s="20" t="str">
        <f>IF(E52&lt;=0,"Poor",IF(E52&lt;=1,"Good","Excellent"))</f>
        <v>Good</v>
      </c>
    </row>
    <row r="53" spans="1:8" x14ac:dyDescent="0.3">
      <c r="A53" s="8" t="s">
        <v>72</v>
      </c>
      <c r="B53" s="8">
        <v>132851</v>
      </c>
      <c r="C53" s="11">
        <v>1</v>
      </c>
      <c r="D53" s="11">
        <v>0</v>
      </c>
      <c r="E53" s="11">
        <v>2</v>
      </c>
      <c r="F53" s="20" t="str">
        <f>IF(C53&lt;=0,"Poor",IF(C53&lt;=1,"Good","Excellent"))</f>
        <v>Good</v>
      </c>
      <c r="G53" s="20" t="str">
        <f>IF(D53&lt;=0,"Poor",IF(D53&lt;=1,"Good","Excellent"))</f>
        <v>Poor</v>
      </c>
      <c r="H53" s="20" t="str">
        <f>IF(E53&lt;=0,"Poor",IF(E53&lt;=1,"Good","Excellent"))</f>
        <v>Excellent</v>
      </c>
    </row>
    <row r="54" spans="1:8" x14ac:dyDescent="0.3">
      <c r="A54" s="8" t="s">
        <v>73</v>
      </c>
      <c r="B54" s="8">
        <v>135076</v>
      </c>
      <c r="C54" s="11">
        <v>1</v>
      </c>
      <c r="D54" s="11">
        <v>1</v>
      </c>
      <c r="E54" s="11">
        <v>1</v>
      </c>
      <c r="F54" s="20" t="str">
        <f>IF(C54&lt;=0,"Poor",IF(C54&lt;=1,"Good","Excellent"))</f>
        <v>Good</v>
      </c>
      <c r="G54" s="20" t="str">
        <f>IF(D54&lt;=0,"Poor",IF(D54&lt;=1,"Good","Excellent"))</f>
        <v>Good</v>
      </c>
      <c r="H54" s="20" t="str">
        <f>IF(E54&lt;=0,"Poor",IF(E54&lt;=1,"Good","Excellent"))</f>
        <v>Good</v>
      </c>
    </row>
    <row r="55" spans="1:8" x14ac:dyDescent="0.3">
      <c r="A55" s="8" t="s">
        <v>74</v>
      </c>
      <c r="B55" s="8">
        <v>135062</v>
      </c>
      <c r="C55" s="11">
        <v>2</v>
      </c>
      <c r="D55" s="11">
        <v>2</v>
      </c>
      <c r="E55" s="11">
        <v>0</v>
      </c>
      <c r="F55" s="20" t="str">
        <f>IF(C55&lt;=0,"Poor",IF(C55&lt;=1,"Good","Excellent"))</f>
        <v>Excellent</v>
      </c>
      <c r="G55" s="20" t="str">
        <f>IF(D55&lt;=0,"Poor",IF(D55&lt;=1,"Good","Excellent"))</f>
        <v>Excellent</v>
      </c>
      <c r="H55" s="20" t="str">
        <f>IF(E55&lt;=0,"Poor",IF(E55&lt;=1,"Good","Excellent"))</f>
        <v>Poor</v>
      </c>
    </row>
    <row r="56" spans="1:8" x14ac:dyDescent="0.3">
      <c r="A56" s="8" t="s">
        <v>75</v>
      </c>
      <c r="B56" s="8">
        <v>135051</v>
      </c>
      <c r="C56" s="11">
        <v>1</v>
      </c>
      <c r="D56" s="11">
        <v>2</v>
      </c>
      <c r="E56" s="11">
        <v>2</v>
      </c>
      <c r="F56" s="20" t="str">
        <f>IF(C56&lt;=0,"Poor",IF(C56&lt;=1,"Good","Excellent"))</f>
        <v>Good</v>
      </c>
      <c r="G56" s="20" t="str">
        <f>IF(D56&lt;=0,"Poor",IF(D56&lt;=1,"Good","Excellent"))</f>
        <v>Excellent</v>
      </c>
      <c r="H56" s="20" t="str">
        <f>IF(E56&lt;=0,"Poor",IF(E56&lt;=1,"Good","Excellent"))</f>
        <v>Excellent</v>
      </c>
    </row>
    <row r="57" spans="1:8" x14ac:dyDescent="0.3">
      <c r="A57" s="8" t="s">
        <v>76</v>
      </c>
      <c r="B57" s="8">
        <v>135066</v>
      </c>
      <c r="C57" s="11">
        <v>2</v>
      </c>
      <c r="D57" s="11">
        <v>2</v>
      </c>
      <c r="E57" s="11">
        <v>2</v>
      </c>
      <c r="F57" s="20" t="str">
        <f>IF(C57&lt;=0,"Poor",IF(C57&lt;=1,"Good","Excellent"))</f>
        <v>Excellent</v>
      </c>
      <c r="G57" s="20" t="str">
        <f>IF(D57&lt;=0,"Poor",IF(D57&lt;=1,"Good","Excellent"))</f>
        <v>Excellent</v>
      </c>
      <c r="H57" s="20" t="str">
        <f>IF(E57&lt;=0,"Poor",IF(E57&lt;=1,"Good","Excellent"))</f>
        <v>Excellent</v>
      </c>
    </row>
    <row r="58" spans="1:8" x14ac:dyDescent="0.3">
      <c r="A58" s="8" t="s">
        <v>77</v>
      </c>
      <c r="B58" s="8">
        <v>135070</v>
      </c>
      <c r="C58" s="11">
        <v>1</v>
      </c>
      <c r="D58" s="11">
        <v>1</v>
      </c>
      <c r="E58" s="11">
        <v>1</v>
      </c>
      <c r="F58" s="20" t="str">
        <f>IF(C58&lt;=0,"Poor",IF(C58&lt;=1,"Good","Excellent"))</f>
        <v>Good</v>
      </c>
      <c r="G58" s="20" t="str">
        <f>IF(D58&lt;=0,"Poor",IF(D58&lt;=1,"Good","Excellent"))</f>
        <v>Good</v>
      </c>
      <c r="H58" s="20" t="str">
        <f>IF(E58&lt;=0,"Poor",IF(E58&lt;=1,"Good","Excellent"))</f>
        <v>Good</v>
      </c>
    </row>
    <row r="59" spans="1:8" x14ac:dyDescent="0.3">
      <c r="A59" s="8" t="s">
        <v>78</v>
      </c>
      <c r="B59" s="8">
        <v>135076</v>
      </c>
      <c r="C59" s="11">
        <v>2</v>
      </c>
      <c r="D59" s="11">
        <v>2</v>
      </c>
      <c r="E59" s="11">
        <v>2</v>
      </c>
      <c r="F59" s="20" t="str">
        <f>IF(C59&lt;=0,"Poor",IF(C59&lt;=1,"Good","Excellent"))</f>
        <v>Excellent</v>
      </c>
      <c r="G59" s="20" t="str">
        <f>IF(D59&lt;=0,"Poor",IF(D59&lt;=1,"Good","Excellent"))</f>
        <v>Excellent</v>
      </c>
      <c r="H59" s="20" t="str">
        <f>IF(E59&lt;=0,"Poor",IF(E59&lt;=1,"Good","Excellent"))</f>
        <v>Excellent</v>
      </c>
    </row>
    <row r="60" spans="1:8" x14ac:dyDescent="0.3">
      <c r="A60" s="8" t="s">
        <v>80</v>
      </c>
      <c r="B60" s="8">
        <v>135064</v>
      </c>
      <c r="C60" s="11">
        <v>1</v>
      </c>
      <c r="D60" s="11">
        <v>1</v>
      </c>
      <c r="E60" s="11">
        <v>0</v>
      </c>
      <c r="F60" s="20" t="str">
        <f>IF(C60&lt;=0,"Poor",IF(C60&lt;=1,"Good","Excellent"))</f>
        <v>Good</v>
      </c>
      <c r="G60" s="20" t="str">
        <f>IF(D60&lt;=0,"Poor",IF(D60&lt;=1,"Good","Excellent"))</f>
        <v>Good</v>
      </c>
      <c r="H60" s="20" t="str">
        <f>IF(E60&lt;=0,"Poor",IF(E60&lt;=1,"Good","Excellent"))</f>
        <v>Poor</v>
      </c>
    </row>
    <row r="61" spans="1:8" x14ac:dyDescent="0.3">
      <c r="A61" s="8" t="s">
        <v>81</v>
      </c>
      <c r="B61" s="8">
        <v>132564</v>
      </c>
      <c r="C61" s="11">
        <v>2</v>
      </c>
      <c r="D61" s="11">
        <v>2</v>
      </c>
      <c r="E61" s="11">
        <v>2</v>
      </c>
      <c r="F61" s="20" t="str">
        <f>IF(C61&lt;=0,"Poor",IF(C61&lt;=1,"Good","Excellent"))</f>
        <v>Excellent</v>
      </c>
      <c r="G61" s="20" t="str">
        <f>IF(D61&lt;=0,"Poor",IF(D61&lt;=1,"Good","Excellent"))</f>
        <v>Excellent</v>
      </c>
      <c r="H61" s="20" t="str">
        <f>IF(E61&lt;=0,"Poor",IF(E61&lt;=1,"Good","Excellent"))</f>
        <v>Excellent</v>
      </c>
    </row>
    <row r="62" spans="1:8" x14ac:dyDescent="0.3">
      <c r="A62" s="8" t="s">
        <v>83</v>
      </c>
      <c r="B62" s="8">
        <v>132825</v>
      </c>
      <c r="C62" s="11">
        <v>1</v>
      </c>
      <c r="D62" s="11">
        <v>2</v>
      </c>
      <c r="E62" s="11">
        <v>1</v>
      </c>
      <c r="F62" s="20" t="str">
        <f>IF(C62&lt;=0,"Poor",IF(C62&lt;=1,"Good","Excellent"))</f>
        <v>Good</v>
      </c>
      <c r="G62" s="20" t="str">
        <f>IF(D62&lt;=0,"Poor",IF(D62&lt;=1,"Good","Excellent"))</f>
        <v>Excellent</v>
      </c>
      <c r="H62" s="20" t="str">
        <f>IF(E62&lt;=0,"Poor",IF(E62&lt;=1,"Good","Excellent"))</f>
        <v>Good</v>
      </c>
    </row>
    <row r="63" spans="1:8" x14ac:dyDescent="0.3">
      <c r="A63" s="8" t="s">
        <v>84</v>
      </c>
      <c r="B63" s="8">
        <v>132872</v>
      </c>
      <c r="C63" s="11">
        <v>0</v>
      </c>
      <c r="D63" s="11">
        <v>0</v>
      </c>
      <c r="E63" s="11">
        <v>0</v>
      </c>
      <c r="F63" s="20" t="str">
        <f>IF(C63&lt;=0,"Poor",IF(C63&lt;=1,"Good","Excellent"))</f>
        <v>Poor</v>
      </c>
      <c r="G63" s="20" t="str">
        <f>IF(D63&lt;=0,"Poor",IF(D63&lt;=1,"Good","Excellent"))</f>
        <v>Poor</v>
      </c>
      <c r="H63" s="20" t="str">
        <f>IF(E63&lt;=0,"Poor",IF(E63&lt;=1,"Good","Excellent"))</f>
        <v>Poor</v>
      </c>
    </row>
    <row r="64" spans="1:8" x14ac:dyDescent="0.3">
      <c r="A64" s="8" t="s">
        <v>85</v>
      </c>
      <c r="B64" s="8">
        <v>132660</v>
      </c>
      <c r="C64" s="11">
        <v>2</v>
      </c>
      <c r="D64" s="11">
        <v>2</v>
      </c>
      <c r="E64" s="11">
        <v>2</v>
      </c>
      <c r="F64" s="20" t="str">
        <f>IF(C64&lt;=0,"Poor",IF(C64&lt;=1,"Good","Excellent"))</f>
        <v>Excellent</v>
      </c>
      <c r="G64" s="20" t="str">
        <f>IF(D64&lt;=0,"Poor",IF(D64&lt;=1,"Good","Excellent"))</f>
        <v>Excellent</v>
      </c>
      <c r="H64" s="20" t="str">
        <f>IF(E64&lt;=0,"Poor",IF(E64&lt;=1,"Good","Excellent"))</f>
        <v>Excellent</v>
      </c>
    </row>
    <row r="65" spans="1:8" x14ac:dyDescent="0.3">
      <c r="A65" s="8" t="s">
        <v>86</v>
      </c>
      <c r="B65" s="8">
        <v>135042</v>
      </c>
      <c r="C65" s="11">
        <v>1</v>
      </c>
      <c r="D65" s="11">
        <v>2</v>
      </c>
      <c r="E65" s="11">
        <v>1</v>
      </c>
      <c r="F65" s="20" t="str">
        <f>IF(C65&lt;=0,"Poor",IF(C65&lt;=1,"Good","Excellent"))</f>
        <v>Good</v>
      </c>
      <c r="G65" s="20" t="str">
        <f>IF(D65&lt;=0,"Poor",IF(D65&lt;=1,"Good","Excellent"))</f>
        <v>Excellent</v>
      </c>
      <c r="H65" s="20" t="str">
        <f>IF(E65&lt;=0,"Poor",IF(E65&lt;=1,"Good","Excellent"))</f>
        <v>Good</v>
      </c>
    </row>
    <row r="66" spans="1:8" x14ac:dyDescent="0.3">
      <c r="A66" s="8" t="s">
        <v>87</v>
      </c>
      <c r="B66" s="8">
        <v>132626</v>
      </c>
      <c r="C66" s="11">
        <v>1</v>
      </c>
      <c r="D66" s="11">
        <v>0</v>
      </c>
      <c r="E66" s="11">
        <v>1</v>
      </c>
      <c r="F66" s="20" t="str">
        <f>IF(C66&lt;=0,"Poor",IF(C66&lt;=1,"Good","Excellent"))</f>
        <v>Good</v>
      </c>
      <c r="G66" s="20" t="str">
        <f>IF(D66&lt;=0,"Poor",IF(D66&lt;=1,"Good","Excellent"))</f>
        <v>Poor</v>
      </c>
      <c r="H66" s="20" t="str">
        <f>IF(E66&lt;=0,"Poor",IF(E66&lt;=1,"Good","Excellent"))</f>
        <v>Good</v>
      </c>
    </row>
    <row r="67" spans="1:8" x14ac:dyDescent="0.3">
      <c r="A67" s="8" t="s">
        <v>88</v>
      </c>
      <c r="B67" s="8">
        <v>135011</v>
      </c>
      <c r="C67" s="11">
        <v>1</v>
      </c>
      <c r="D67" s="11">
        <v>2</v>
      </c>
      <c r="E67" s="11">
        <v>2</v>
      </c>
      <c r="F67" s="20" t="str">
        <f>IF(C67&lt;=0,"Poor",IF(C67&lt;=1,"Good","Excellent"))</f>
        <v>Good</v>
      </c>
      <c r="G67" s="20" t="str">
        <f>IF(D67&lt;=0,"Poor",IF(D67&lt;=1,"Good","Excellent"))</f>
        <v>Excellent</v>
      </c>
      <c r="H67" s="20" t="str">
        <f>IF(E67&lt;=0,"Poor",IF(E67&lt;=1,"Good","Excellent"))</f>
        <v>Excellent</v>
      </c>
    </row>
    <row r="68" spans="1:8" x14ac:dyDescent="0.3">
      <c r="A68" s="8" t="s">
        <v>89</v>
      </c>
      <c r="B68" s="8">
        <v>132584</v>
      </c>
      <c r="C68" s="11">
        <v>2</v>
      </c>
      <c r="D68" s="11">
        <v>2</v>
      </c>
      <c r="E68" s="11">
        <v>2</v>
      </c>
      <c r="F68" s="20" t="str">
        <f>IF(C68&lt;=0,"Poor",IF(C68&lt;=1,"Good","Excellent"))</f>
        <v>Excellent</v>
      </c>
      <c r="G68" s="20" t="str">
        <f>IF(D68&lt;=0,"Poor",IF(D68&lt;=1,"Good","Excellent"))</f>
        <v>Excellent</v>
      </c>
      <c r="H68" s="20" t="str">
        <f>IF(E68&lt;=0,"Poor",IF(E68&lt;=1,"Good","Excellent"))</f>
        <v>Excellent</v>
      </c>
    </row>
    <row r="69" spans="1:8" x14ac:dyDescent="0.3">
      <c r="A69" s="8" t="s">
        <v>90</v>
      </c>
      <c r="B69" s="8">
        <v>135104</v>
      </c>
      <c r="C69" s="11">
        <v>1</v>
      </c>
      <c r="D69" s="11">
        <v>1</v>
      </c>
      <c r="E69" s="11">
        <v>2</v>
      </c>
      <c r="F69" s="20" t="str">
        <f>IF(C69&lt;=0,"Poor",IF(C69&lt;=1,"Good","Excellent"))</f>
        <v>Good</v>
      </c>
      <c r="G69" s="20" t="str">
        <f>IF(D69&lt;=0,"Poor",IF(D69&lt;=1,"Good","Excellent"))</f>
        <v>Good</v>
      </c>
      <c r="H69" s="20" t="str">
        <f>IF(E69&lt;=0,"Poor",IF(E69&lt;=1,"Good","Excellent"))</f>
        <v>Excellent</v>
      </c>
    </row>
    <row r="70" spans="1:8" x14ac:dyDescent="0.3">
      <c r="A70" s="8" t="s">
        <v>91</v>
      </c>
      <c r="B70" s="8">
        <v>135070</v>
      </c>
      <c r="C70" s="11">
        <v>0</v>
      </c>
      <c r="D70" s="11">
        <v>0</v>
      </c>
      <c r="E70" s="11">
        <v>0</v>
      </c>
      <c r="F70" s="20" t="str">
        <f>IF(C70&lt;=0,"Poor",IF(C70&lt;=1,"Good","Excellent"))</f>
        <v>Poor</v>
      </c>
      <c r="G70" s="20" t="str">
        <f>IF(D70&lt;=0,"Poor",IF(D70&lt;=1,"Good","Excellent"))</f>
        <v>Poor</v>
      </c>
      <c r="H70" s="20" t="str">
        <f>IF(E70&lt;=0,"Poor",IF(E70&lt;=1,"Good","Excellent"))</f>
        <v>Poor</v>
      </c>
    </row>
    <row r="71" spans="1:8" x14ac:dyDescent="0.3">
      <c r="A71" s="8" t="s">
        <v>92</v>
      </c>
      <c r="B71" s="8">
        <v>132608</v>
      </c>
      <c r="C71" s="11">
        <v>2</v>
      </c>
      <c r="D71" s="11">
        <v>2</v>
      </c>
      <c r="E71" s="11">
        <v>1</v>
      </c>
      <c r="F71" s="20" t="str">
        <f>IF(C71&lt;=0,"Poor",IF(C71&lt;=1,"Good","Excellent"))</f>
        <v>Excellent</v>
      </c>
      <c r="G71" s="20" t="str">
        <f>IF(D71&lt;=0,"Poor",IF(D71&lt;=1,"Good","Excellent"))</f>
        <v>Excellent</v>
      </c>
      <c r="H71" s="20" t="str">
        <f>IF(E71&lt;=0,"Poor",IF(E71&lt;=1,"Good","Excellent"))</f>
        <v>Good</v>
      </c>
    </row>
    <row r="72" spans="1:8" x14ac:dyDescent="0.3">
      <c r="A72" s="8" t="s">
        <v>93</v>
      </c>
      <c r="B72" s="8">
        <v>132862</v>
      </c>
      <c r="C72" s="11">
        <v>2</v>
      </c>
      <c r="D72" s="11">
        <v>2</v>
      </c>
      <c r="E72" s="11">
        <v>2</v>
      </c>
      <c r="F72" s="20" t="str">
        <f>IF(C72&lt;=0,"Poor",IF(C72&lt;=1,"Good","Excellent"))</f>
        <v>Excellent</v>
      </c>
      <c r="G72" s="20" t="str">
        <f>IF(D72&lt;=0,"Poor",IF(D72&lt;=1,"Good","Excellent"))</f>
        <v>Excellent</v>
      </c>
      <c r="H72" s="20" t="str">
        <f>IF(E72&lt;=0,"Poor",IF(E72&lt;=1,"Good","Excellent"))</f>
        <v>Excellent</v>
      </c>
    </row>
    <row r="73" spans="1:8" x14ac:dyDescent="0.3">
      <c r="A73" s="8" t="s">
        <v>94</v>
      </c>
      <c r="B73" s="8">
        <v>135016</v>
      </c>
      <c r="C73" s="11">
        <v>1</v>
      </c>
      <c r="D73" s="11">
        <v>2</v>
      </c>
      <c r="E73" s="11">
        <v>2</v>
      </c>
      <c r="F73" s="20" t="str">
        <f>IF(C73&lt;=0,"Poor",IF(C73&lt;=1,"Good","Excellent"))</f>
        <v>Good</v>
      </c>
      <c r="G73" s="20" t="str">
        <f>IF(D73&lt;=0,"Poor",IF(D73&lt;=1,"Good","Excellent"))</f>
        <v>Excellent</v>
      </c>
      <c r="H73" s="20" t="str">
        <f>IF(E73&lt;=0,"Poor",IF(E73&lt;=1,"Good","Excellent"))</f>
        <v>Excellent</v>
      </c>
    </row>
    <row r="74" spans="1:8" x14ac:dyDescent="0.3">
      <c r="A74" s="8" t="s">
        <v>95</v>
      </c>
      <c r="B74" s="8">
        <v>135062</v>
      </c>
      <c r="C74" s="11">
        <v>0</v>
      </c>
      <c r="D74" s="11">
        <v>0</v>
      </c>
      <c r="E74" s="11">
        <v>0</v>
      </c>
      <c r="F74" s="20" t="str">
        <f>IF(C74&lt;=0,"Poor",IF(C74&lt;=1,"Good","Excellent"))</f>
        <v>Poor</v>
      </c>
      <c r="G74" s="20" t="str">
        <f>IF(D74&lt;=0,"Poor",IF(D74&lt;=1,"Good","Excellent"))</f>
        <v>Poor</v>
      </c>
      <c r="H74" s="20" t="str">
        <f>IF(E74&lt;=0,"Poor",IF(E74&lt;=1,"Good","Excellent"))</f>
        <v>Poor</v>
      </c>
    </row>
    <row r="75" spans="1:8" x14ac:dyDescent="0.3">
      <c r="A75" s="8" t="s">
        <v>96</v>
      </c>
      <c r="B75" s="8">
        <v>135011</v>
      </c>
      <c r="C75" s="11">
        <v>2</v>
      </c>
      <c r="D75" s="11">
        <v>1</v>
      </c>
      <c r="E75" s="11">
        <v>2</v>
      </c>
      <c r="F75" s="20" t="str">
        <f>IF(C75&lt;=0,"Poor",IF(C75&lt;=1,"Good","Excellent"))</f>
        <v>Excellent</v>
      </c>
      <c r="G75" s="20" t="str">
        <f>IF(D75&lt;=0,"Poor",IF(D75&lt;=1,"Good","Excellent"))</f>
        <v>Good</v>
      </c>
      <c r="H75" s="20" t="str">
        <f>IF(E75&lt;=0,"Poor",IF(E75&lt;=1,"Good","Excellent"))</f>
        <v>Excellent</v>
      </c>
    </row>
    <row r="76" spans="1:8" x14ac:dyDescent="0.3">
      <c r="A76" s="8" t="s">
        <v>98</v>
      </c>
      <c r="B76" s="8">
        <v>135081</v>
      </c>
      <c r="C76" s="11">
        <v>1</v>
      </c>
      <c r="D76" s="11">
        <v>2</v>
      </c>
      <c r="E76" s="11">
        <v>1</v>
      </c>
      <c r="F76" s="20" t="str">
        <f>IF(C76&lt;=0,"Poor",IF(C76&lt;=1,"Good","Excellent"))</f>
        <v>Good</v>
      </c>
      <c r="G76" s="20" t="str">
        <f>IF(D76&lt;=0,"Poor",IF(D76&lt;=1,"Good","Excellent"))</f>
        <v>Excellent</v>
      </c>
      <c r="H76" s="20" t="str">
        <f>IF(E76&lt;=0,"Poor",IF(E76&lt;=1,"Good","Excellent"))</f>
        <v>Good</v>
      </c>
    </row>
    <row r="77" spans="1:8" x14ac:dyDescent="0.3">
      <c r="A77" s="8" t="s">
        <v>99</v>
      </c>
      <c r="B77" s="8">
        <v>135039</v>
      </c>
      <c r="C77" s="11">
        <v>2</v>
      </c>
      <c r="D77" s="11">
        <v>2</v>
      </c>
      <c r="E77" s="11">
        <v>1</v>
      </c>
      <c r="F77" s="20" t="str">
        <f>IF(C77&lt;=0,"Poor",IF(C77&lt;=1,"Good","Excellent"))</f>
        <v>Excellent</v>
      </c>
      <c r="G77" s="20" t="str">
        <f>IF(D77&lt;=0,"Poor",IF(D77&lt;=1,"Good","Excellent"))</f>
        <v>Excellent</v>
      </c>
      <c r="H77" s="20" t="str">
        <f>IF(E77&lt;=0,"Poor",IF(E77&lt;=1,"Good","Excellent"))</f>
        <v>Good</v>
      </c>
    </row>
    <row r="78" spans="1:8" x14ac:dyDescent="0.3">
      <c r="A78" s="8" t="s">
        <v>100</v>
      </c>
      <c r="B78" s="8">
        <v>135085</v>
      </c>
      <c r="C78" s="11">
        <v>2</v>
      </c>
      <c r="D78" s="11">
        <v>2</v>
      </c>
      <c r="E78" s="11">
        <v>2</v>
      </c>
      <c r="F78" s="20" t="str">
        <f>IF(C78&lt;=0,"Poor",IF(C78&lt;=1,"Good","Excellent"))</f>
        <v>Excellent</v>
      </c>
      <c r="G78" s="20" t="str">
        <f>IF(D78&lt;=0,"Poor",IF(D78&lt;=1,"Good","Excellent"))</f>
        <v>Excellent</v>
      </c>
      <c r="H78" s="20" t="str">
        <f>IF(E78&lt;=0,"Poor",IF(E78&lt;=1,"Good","Excellent"))</f>
        <v>Excellent</v>
      </c>
    </row>
    <row r="79" spans="1:8" x14ac:dyDescent="0.3">
      <c r="A79" s="8" t="s">
        <v>101</v>
      </c>
      <c r="B79" s="8">
        <v>132885</v>
      </c>
      <c r="C79" s="11">
        <v>1</v>
      </c>
      <c r="D79" s="11">
        <v>1</v>
      </c>
      <c r="E79" s="11">
        <v>1</v>
      </c>
      <c r="F79" s="20" t="str">
        <f>IF(C79&lt;=0,"Poor",IF(C79&lt;=1,"Good","Excellent"))</f>
        <v>Good</v>
      </c>
      <c r="G79" s="20" t="str">
        <f>IF(D79&lt;=0,"Poor",IF(D79&lt;=1,"Good","Excellent"))</f>
        <v>Good</v>
      </c>
      <c r="H79" s="20" t="str">
        <f>IF(E79&lt;=0,"Poor",IF(E79&lt;=1,"Good","Excellent"))</f>
        <v>Good</v>
      </c>
    </row>
    <row r="80" spans="1:8" x14ac:dyDescent="0.3">
      <c r="A80" s="8" t="s">
        <v>102</v>
      </c>
      <c r="B80" s="8">
        <v>134986</v>
      </c>
      <c r="C80" s="11">
        <v>2</v>
      </c>
      <c r="D80" s="11">
        <v>2</v>
      </c>
      <c r="E80" s="11">
        <v>2</v>
      </c>
      <c r="F80" s="20" t="str">
        <f>IF(C80&lt;=0,"Poor",IF(C80&lt;=1,"Good","Excellent"))</f>
        <v>Excellent</v>
      </c>
      <c r="G80" s="20" t="str">
        <f>IF(D80&lt;=0,"Poor",IF(D80&lt;=1,"Good","Excellent"))</f>
        <v>Excellent</v>
      </c>
      <c r="H80" s="20" t="str">
        <f>IF(E80&lt;=0,"Poor",IF(E80&lt;=1,"Good","Excellent"))</f>
        <v>Excellent</v>
      </c>
    </row>
    <row r="81" spans="1:8" x14ac:dyDescent="0.3">
      <c r="A81" s="8" t="s">
        <v>103</v>
      </c>
      <c r="B81" s="8">
        <v>132668</v>
      </c>
      <c r="C81" s="11">
        <v>1</v>
      </c>
      <c r="D81" s="11">
        <v>1</v>
      </c>
      <c r="E81" s="11">
        <v>1</v>
      </c>
      <c r="F81" s="20" t="str">
        <f>IF(C81&lt;=0,"Poor",IF(C81&lt;=1,"Good","Excellent"))</f>
        <v>Good</v>
      </c>
      <c r="G81" s="20" t="str">
        <f>IF(D81&lt;=0,"Poor",IF(D81&lt;=1,"Good","Excellent"))</f>
        <v>Good</v>
      </c>
      <c r="H81" s="20" t="str">
        <f>IF(E81&lt;=0,"Poor",IF(E81&lt;=1,"Good","Excellent"))</f>
        <v>Good</v>
      </c>
    </row>
    <row r="82" spans="1:8" x14ac:dyDescent="0.3">
      <c r="A82" s="8" t="s">
        <v>104</v>
      </c>
      <c r="B82" s="8">
        <v>135069</v>
      </c>
      <c r="C82" s="11">
        <v>1</v>
      </c>
      <c r="D82" s="11">
        <v>0</v>
      </c>
      <c r="E82" s="11">
        <v>1</v>
      </c>
      <c r="F82" s="20" t="str">
        <f>IF(C82&lt;=0,"Poor",IF(C82&lt;=1,"Good","Excellent"))</f>
        <v>Good</v>
      </c>
      <c r="G82" s="20" t="str">
        <f>IF(D82&lt;=0,"Poor",IF(D82&lt;=1,"Good","Excellent"))</f>
        <v>Poor</v>
      </c>
      <c r="H82" s="20" t="str">
        <f>IF(E82&lt;=0,"Poor",IF(E82&lt;=1,"Good","Excellent"))</f>
        <v>Good</v>
      </c>
    </row>
    <row r="83" spans="1:8" x14ac:dyDescent="0.3">
      <c r="A83" s="8" t="s">
        <v>105</v>
      </c>
      <c r="B83" s="8">
        <v>132630</v>
      </c>
      <c r="C83" s="11">
        <v>1</v>
      </c>
      <c r="D83" s="11">
        <v>1</v>
      </c>
      <c r="E83" s="11">
        <v>1</v>
      </c>
      <c r="F83" s="20" t="str">
        <f>IF(C83&lt;=0,"Poor",IF(C83&lt;=1,"Good","Excellent"))</f>
        <v>Good</v>
      </c>
      <c r="G83" s="20" t="str">
        <f>IF(D83&lt;=0,"Poor",IF(D83&lt;=1,"Good","Excellent"))</f>
        <v>Good</v>
      </c>
      <c r="H83" s="20" t="str">
        <f>IF(E83&lt;=0,"Poor",IF(E83&lt;=1,"Good","Excellent"))</f>
        <v>Good</v>
      </c>
    </row>
    <row r="84" spans="1:8" x14ac:dyDescent="0.3">
      <c r="A84" s="8" t="s">
        <v>106</v>
      </c>
      <c r="B84" s="8">
        <v>135034</v>
      </c>
      <c r="C84" s="11">
        <v>2</v>
      </c>
      <c r="D84" s="11">
        <v>2</v>
      </c>
      <c r="E84" s="11">
        <v>2</v>
      </c>
      <c r="F84" s="20" t="str">
        <f>IF(C84&lt;=0,"Poor",IF(C84&lt;=1,"Good","Excellent"))</f>
        <v>Excellent</v>
      </c>
      <c r="G84" s="20" t="str">
        <f>IF(D84&lt;=0,"Poor",IF(D84&lt;=1,"Good","Excellent"))</f>
        <v>Excellent</v>
      </c>
      <c r="H84" s="20" t="str">
        <f>IF(E84&lt;=0,"Poor",IF(E84&lt;=1,"Good","Excellent"))</f>
        <v>Excellent</v>
      </c>
    </row>
    <row r="85" spans="1:8" x14ac:dyDescent="0.3">
      <c r="A85" s="8" t="s">
        <v>107</v>
      </c>
      <c r="B85" s="8">
        <v>135058</v>
      </c>
      <c r="C85" s="11">
        <v>1</v>
      </c>
      <c r="D85" s="11">
        <v>0</v>
      </c>
      <c r="E85" s="11">
        <v>2</v>
      </c>
      <c r="F85" s="20" t="str">
        <f>IF(C85&lt;=0,"Poor",IF(C85&lt;=1,"Good","Excellent"))</f>
        <v>Good</v>
      </c>
      <c r="G85" s="20" t="str">
        <f>IF(D85&lt;=0,"Poor",IF(D85&lt;=1,"Good","Excellent"))</f>
        <v>Poor</v>
      </c>
      <c r="H85" s="20" t="str">
        <f>IF(E85&lt;=0,"Poor",IF(E85&lt;=1,"Good","Excellent"))</f>
        <v>Excellent</v>
      </c>
    </row>
    <row r="86" spans="1:8" x14ac:dyDescent="0.3">
      <c r="A86" s="8" t="s">
        <v>108</v>
      </c>
      <c r="B86" s="8">
        <v>135043</v>
      </c>
      <c r="C86" s="11">
        <v>2</v>
      </c>
      <c r="D86" s="11">
        <v>2</v>
      </c>
      <c r="E86" s="11">
        <v>2</v>
      </c>
      <c r="F86" s="20" t="str">
        <f>IF(C86&lt;=0,"Poor",IF(C86&lt;=1,"Good","Excellent"))</f>
        <v>Excellent</v>
      </c>
      <c r="G86" s="20" t="str">
        <f>IF(D86&lt;=0,"Poor",IF(D86&lt;=1,"Good","Excellent"))</f>
        <v>Excellent</v>
      </c>
      <c r="H86" s="20" t="str">
        <f>IF(E86&lt;=0,"Poor",IF(E86&lt;=1,"Good","Excellent"))</f>
        <v>Excellent</v>
      </c>
    </row>
    <row r="87" spans="1:8" x14ac:dyDescent="0.3">
      <c r="A87" s="8" t="s">
        <v>109</v>
      </c>
      <c r="B87" s="8">
        <v>135063</v>
      </c>
      <c r="C87" s="11">
        <v>1</v>
      </c>
      <c r="D87" s="11">
        <v>1</v>
      </c>
      <c r="E87" s="11">
        <v>1</v>
      </c>
      <c r="F87" s="20" t="str">
        <f>IF(C87&lt;=0,"Poor",IF(C87&lt;=1,"Good","Excellent"))</f>
        <v>Good</v>
      </c>
      <c r="G87" s="20" t="str">
        <f>IF(D87&lt;=0,"Poor",IF(D87&lt;=1,"Good","Excellent"))</f>
        <v>Good</v>
      </c>
      <c r="H87" s="20" t="str">
        <f>IF(E87&lt;=0,"Poor",IF(E87&lt;=1,"Good","Excellent"))</f>
        <v>Good</v>
      </c>
    </row>
    <row r="88" spans="1:8" x14ac:dyDescent="0.3">
      <c r="A88" s="8" t="s">
        <v>110</v>
      </c>
      <c r="B88" s="8">
        <v>132667</v>
      </c>
      <c r="C88" s="11">
        <v>2</v>
      </c>
      <c r="D88" s="11">
        <v>2</v>
      </c>
      <c r="E88" s="11">
        <v>1</v>
      </c>
      <c r="F88" s="20" t="str">
        <f>IF(C88&lt;=0,"Poor",IF(C88&lt;=1,"Good","Excellent"))</f>
        <v>Excellent</v>
      </c>
      <c r="G88" s="20" t="str">
        <f>IF(D88&lt;=0,"Poor",IF(D88&lt;=1,"Good","Excellent"))</f>
        <v>Excellent</v>
      </c>
      <c r="H88" s="20" t="str">
        <f>IF(E88&lt;=0,"Poor",IF(E88&lt;=1,"Good","Excellent"))</f>
        <v>Good</v>
      </c>
    </row>
    <row r="89" spans="1:8" x14ac:dyDescent="0.3">
      <c r="A89" s="8" t="s">
        <v>111</v>
      </c>
      <c r="B89" s="8">
        <v>132830</v>
      </c>
      <c r="C89" s="11">
        <v>0</v>
      </c>
      <c r="D89" s="11">
        <v>2</v>
      </c>
      <c r="E89" s="11">
        <v>2</v>
      </c>
      <c r="F89" s="20" t="str">
        <f>IF(C89&lt;=0,"Poor",IF(C89&lt;=1,"Good","Excellent"))</f>
        <v>Poor</v>
      </c>
      <c r="G89" s="20" t="str">
        <f>IF(D89&lt;=0,"Poor",IF(D89&lt;=1,"Good","Excellent"))</f>
        <v>Excellent</v>
      </c>
      <c r="H89" s="20" t="str">
        <f>IF(E89&lt;=0,"Poor",IF(E89&lt;=1,"Good","Excellent"))</f>
        <v>Excellent</v>
      </c>
    </row>
    <row r="90" spans="1:8" x14ac:dyDescent="0.3">
      <c r="A90" s="8" t="s">
        <v>112</v>
      </c>
      <c r="B90" s="8">
        <v>135058</v>
      </c>
      <c r="C90" s="11">
        <v>1</v>
      </c>
      <c r="D90" s="11">
        <v>1</v>
      </c>
      <c r="E90" s="11">
        <v>1</v>
      </c>
      <c r="F90" s="20" t="str">
        <f>IF(C90&lt;=0,"Poor",IF(C90&lt;=1,"Good","Excellent"))</f>
        <v>Good</v>
      </c>
      <c r="G90" s="20" t="str">
        <f>IF(D90&lt;=0,"Poor",IF(D90&lt;=1,"Good","Excellent"))</f>
        <v>Good</v>
      </c>
      <c r="H90" s="20" t="str">
        <f>IF(E90&lt;=0,"Poor",IF(E90&lt;=1,"Good","Excellent"))</f>
        <v>Good</v>
      </c>
    </row>
    <row r="91" spans="1:8" x14ac:dyDescent="0.3">
      <c r="A91" s="8" t="s">
        <v>113</v>
      </c>
      <c r="B91" s="8">
        <v>132572</v>
      </c>
      <c r="C91" s="11">
        <v>1</v>
      </c>
      <c r="D91" s="11">
        <v>1</v>
      </c>
      <c r="E91" s="11">
        <v>2</v>
      </c>
      <c r="F91" s="20" t="str">
        <f>IF(C91&lt;=0,"Poor",IF(C91&lt;=1,"Good","Excellent"))</f>
        <v>Good</v>
      </c>
      <c r="G91" s="20" t="str">
        <f>IF(D91&lt;=0,"Poor",IF(D91&lt;=1,"Good","Excellent"))</f>
        <v>Good</v>
      </c>
      <c r="H91" s="20" t="str">
        <f>IF(E91&lt;=0,"Poor",IF(E91&lt;=1,"Good","Excellent"))</f>
        <v>Excellent</v>
      </c>
    </row>
    <row r="92" spans="1:8" x14ac:dyDescent="0.3">
      <c r="A92" s="8" t="s">
        <v>114</v>
      </c>
      <c r="B92" s="8">
        <v>132825</v>
      </c>
      <c r="C92" s="11">
        <v>0</v>
      </c>
      <c r="D92" s="11">
        <v>1</v>
      </c>
      <c r="E92" s="11">
        <v>1</v>
      </c>
      <c r="F92" s="20" t="str">
        <f>IF(C92&lt;=0,"Poor",IF(C92&lt;=1,"Good","Excellent"))</f>
        <v>Poor</v>
      </c>
      <c r="G92" s="20" t="str">
        <f>IF(D92&lt;=0,"Poor",IF(D92&lt;=1,"Good","Excellent"))</f>
        <v>Good</v>
      </c>
      <c r="H92" s="20" t="str">
        <f>IF(E92&lt;=0,"Poor",IF(E92&lt;=1,"Good","Excellent"))</f>
        <v>Good</v>
      </c>
    </row>
    <row r="93" spans="1:8" x14ac:dyDescent="0.3">
      <c r="A93" s="8" t="s">
        <v>115</v>
      </c>
      <c r="B93" s="8">
        <v>135071</v>
      </c>
      <c r="C93" s="11">
        <v>1</v>
      </c>
      <c r="D93" s="11">
        <v>0</v>
      </c>
      <c r="E93" s="11">
        <v>0</v>
      </c>
      <c r="F93" s="20" t="str">
        <f>IF(C93&lt;=0,"Poor",IF(C93&lt;=1,"Good","Excellent"))</f>
        <v>Good</v>
      </c>
      <c r="G93" s="20" t="str">
        <f>IF(D93&lt;=0,"Poor",IF(D93&lt;=1,"Good","Excellent"))</f>
        <v>Poor</v>
      </c>
      <c r="H93" s="20" t="str">
        <f>IF(E93&lt;=0,"Poor",IF(E93&lt;=1,"Good","Excellent"))</f>
        <v>Poor</v>
      </c>
    </row>
    <row r="94" spans="1:8" x14ac:dyDescent="0.3">
      <c r="A94" s="8" t="s">
        <v>117</v>
      </c>
      <c r="B94" s="8">
        <v>135019</v>
      </c>
      <c r="C94" s="11">
        <v>2</v>
      </c>
      <c r="D94" s="11">
        <v>2</v>
      </c>
      <c r="E94" s="11">
        <v>2</v>
      </c>
      <c r="F94" s="20" t="str">
        <f>IF(C94&lt;=0,"Poor",IF(C94&lt;=1,"Good","Excellent"))</f>
        <v>Excellent</v>
      </c>
      <c r="G94" s="20" t="str">
        <f>IF(D94&lt;=0,"Poor",IF(D94&lt;=1,"Good","Excellent"))</f>
        <v>Excellent</v>
      </c>
      <c r="H94" s="20" t="str">
        <f>IF(E94&lt;=0,"Poor",IF(E94&lt;=1,"Good","Excellent"))</f>
        <v>Excellent</v>
      </c>
    </row>
    <row r="95" spans="1:8" x14ac:dyDescent="0.3">
      <c r="A95" s="8" t="s">
        <v>118</v>
      </c>
      <c r="B95" s="8">
        <v>135054</v>
      </c>
      <c r="C95" s="11">
        <v>0</v>
      </c>
      <c r="D95" s="11">
        <v>0</v>
      </c>
      <c r="E95" s="11">
        <v>0</v>
      </c>
      <c r="F95" s="20" t="str">
        <f>IF(C95&lt;=0,"Poor",IF(C95&lt;=1,"Good","Excellent"))</f>
        <v>Poor</v>
      </c>
      <c r="G95" s="20" t="str">
        <f>IF(D95&lt;=0,"Poor",IF(D95&lt;=1,"Good","Excellent"))</f>
        <v>Poor</v>
      </c>
      <c r="H95" s="20" t="str">
        <f>IF(E95&lt;=0,"Poor",IF(E95&lt;=1,"Good","Excellent"))</f>
        <v>Poor</v>
      </c>
    </row>
    <row r="96" spans="1:8" x14ac:dyDescent="0.3">
      <c r="A96" s="8" t="s">
        <v>119</v>
      </c>
      <c r="B96" s="8">
        <v>132872</v>
      </c>
      <c r="C96" s="11">
        <v>1</v>
      </c>
      <c r="D96" s="11">
        <v>2</v>
      </c>
      <c r="E96" s="11">
        <v>2</v>
      </c>
      <c r="F96" s="20" t="str">
        <f>IF(C96&lt;=0,"Poor",IF(C96&lt;=1,"Good","Excellent"))</f>
        <v>Good</v>
      </c>
      <c r="G96" s="20" t="str">
        <f>IF(D96&lt;=0,"Poor",IF(D96&lt;=1,"Good","Excellent"))</f>
        <v>Excellent</v>
      </c>
      <c r="H96" s="20" t="str">
        <f>IF(E96&lt;=0,"Poor",IF(E96&lt;=1,"Good","Excellent"))</f>
        <v>Excellent</v>
      </c>
    </row>
    <row r="97" spans="1:8" x14ac:dyDescent="0.3">
      <c r="A97" s="8" t="s">
        <v>120</v>
      </c>
      <c r="B97" s="8">
        <v>132875</v>
      </c>
      <c r="C97" s="11">
        <v>2</v>
      </c>
      <c r="D97" s="11">
        <v>2</v>
      </c>
      <c r="E97" s="11">
        <v>2</v>
      </c>
      <c r="F97" s="20" t="str">
        <f>IF(C97&lt;=0,"Poor",IF(C97&lt;=1,"Good","Excellent"))</f>
        <v>Excellent</v>
      </c>
      <c r="G97" s="20" t="str">
        <f>IF(D97&lt;=0,"Poor",IF(D97&lt;=1,"Good","Excellent"))</f>
        <v>Excellent</v>
      </c>
      <c r="H97" s="20" t="str">
        <f>IF(E97&lt;=0,"Poor",IF(E97&lt;=1,"Good","Excellent"))</f>
        <v>Excellent</v>
      </c>
    </row>
    <row r="98" spans="1:8" x14ac:dyDescent="0.3">
      <c r="A98" s="8" t="s">
        <v>121</v>
      </c>
      <c r="B98" s="8">
        <v>135079</v>
      </c>
      <c r="C98" s="11">
        <v>2</v>
      </c>
      <c r="D98" s="11">
        <v>1</v>
      </c>
      <c r="E98" s="11">
        <v>0</v>
      </c>
      <c r="F98" s="20" t="str">
        <f>IF(C98&lt;=0,"Poor",IF(C98&lt;=1,"Good","Excellent"))</f>
        <v>Excellent</v>
      </c>
      <c r="G98" s="20" t="str">
        <f>IF(D98&lt;=0,"Poor",IF(D98&lt;=1,"Good","Excellent"))</f>
        <v>Good</v>
      </c>
      <c r="H98" s="20" t="str">
        <f>IF(E98&lt;=0,"Poor",IF(E98&lt;=1,"Good","Excellent"))</f>
        <v>Poor</v>
      </c>
    </row>
    <row r="99" spans="1:8" x14ac:dyDescent="0.3">
      <c r="A99" s="8" t="s">
        <v>122</v>
      </c>
      <c r="B99" s="8">
        <v>132885</v>
      </c>
      <c r="C99" s="11">
        <v>1</v>
      </c>
      <c r="D99" s="11">
        <v>1</v>
      </c>
      <c r="E99" s="11">
        <v>0</v>
      </c>
      <c r="F99" s="20" t="str">
        <f>IF(C99&lt;=0,"Poor",IF(C99&lt;=1,"Good","Excellent"))</f>
        <v>Good</v>
      </c>
      <c r="G99" s="20" t="str">
        <f>IF(D99&lt;=0,"Poor",IF(D99&lt;=1,"Good","Excellent"))</f>
        <v>Good</v>
      </c>
      <c r="H99" s="20" t="str">
        <f>IF(E99&lt;=0,"Poor",IF(E99&lt;=1,"Good","Excellent"))</f>
        <v>Poor</v>
      </c>
    </row>
    <row r="100" spans="1:8" x14ac:dyDescent="0.3">
      <c r="A100" s="8" t="s">
        <v>123</v>
      </c>
      <c r="B100" s="8">
        <v>135076</v>
      </c>
      <c r="C100" s="11">
        <v>1</v>
      </c>
      <c r="D100" s="11">
        <v>1</v>
      </c>
      <c r="E100" s="11">
        <v>0</v>
      </c>
      <c r="F100" s="20" t="str">
        <f>IF(C100&lt;=0,"Poor",IF(C100&lt;=1,"Good","Excellent"))</f>
        <v>Good</v>
      </c>
      <c r="G100" s="20" t="str">
        <f>IF(D100&lt;=0,"Poor",IF(D100&lt;=1,"Good","Excellent"))</f>
        <v>Good</v>
      </c>
      <c r="H100" s="20" t="str">
        <f>IF(E100&lt;=0,"Poor",IF(E100&lt;=1,"Good","Excellent"))</f>
        <v>Poor</v>
      </c>
    </row>
    <row r="101" spans="1:8" x14ac:dyDescent="0.3">
      <c r="A101" s="8" t="s">
        <v>124</v>
      </c>
      <c r="B101" s="8">
        <v>135021</v>
      </c>
      <c r="C101" s="11">
        <v>2</v>
      </c>
      <c r="D101" s="11">
        <v>1</v>
      </c>
      <c r="E101" s="11">
        <v>0</v>
      </c>
      <c r="F101" s="20" t="str">
        <f>IF(C101&lt;=0,"Poor",IF(C101&lt;=1,"Good","Excellent"))</f>
        <v>Excellent</v>
      </c>
      <c r="G101" s="20" t="str">
        <f>IF(D101&lt;=0,"Poor",IF(D101&lt;=1,"Good","Excellent"))</f>
        <v>Good</v>
      </c>
      <c r="H101" s="20" t="str">
        <f>IF(E101&lt;=0,"Poor",IF(E101&lt;=1,"Good","Excellent"))</f>
        <v>Poor</v>
      </c>
    </row>
    <row r="102" spans="1:8" x14ac:dyDescent="0.3">
      <c r="A102" s="8" t="s">
        <v>125</v>
      </c>
      <c r="B102" s="8">
        <v>135039</v>
      </c>
      <c r="C102" s="11">
        <v>1</v>
      </c>
      <c r="D102" s="11">
        <v>1</v>
      </c>
      <c r="E102" s="11">
        <v>1</v>
      </c>
      <c r="F102" s="20" t="str">
        <f>IF(C102&lt;=0,"Poor",IF(C102&lt;=1,"Good","Excellent"))</f>
        <v>Good</v>
      </c>
      <c r="G102" s="20" t="str">
        <f>IF(D102&lt;=0,"Poor",IF(D102&lt;=1,"Good","Excellent"))</f>
        <v>Good</v>
      </c>
      <c r="H102" s="20" t="str">
        <f>IF(E102&lt;=0,"Poor",IF(E102&lt;=1,"Good","Excellent"))</f>
        <v>Good</v>
      </c>
    </row>
    <row r="103" spans="1:8" x14ac:dyDescent="0.3">
      <c r="A103" s="8" t="s">
        <v>126</v>
      </c>
      <c r="B103" s="8">
        <v>132846</v>
      </c>
      <c r="C103" s="11">
        <v>2</v>
      </c>
      <c r="D103" s="11">
        <v>2</v>
      </c>
      <c r="E103" s="11">
        <v>2</v>
      </c>
      <c r="F103" s="20" t="str">
        <f>IF(C103&lt;=0,"Poor",IF(C103&lt;=1,"Good","Excellent"))</f>
        <v>Excellent</v>
      </c>
      <c r="G103" s="20" t="str">
        <f>IF(D103&lt;=0,"Poor",IF(D103&lt;=1,"Good","Excellent"))</f>
        <v>Excellent</v>
      </c>
      <c r="H103" s="20" t="str">
        <f>IF(E103&lt;=0,"Poor",IF(E103&lt;=1,"Good","Excellent"))</f>
        <v>Excellent</v>
      </c>
    </row>
    <row r="104" spans="1:8" x14ac:dyDescent="0.3">
      <c r="A104" s="8" t="s">
        <v>127</v>
      </c>
      <c r="B104" s="8">
        <v>132584</v>
      </c>
      <c r="C104" s="11">
        <v>1</v>
      </c>
      <c r="D104" s="11">
        <v>2</v>
      </c>
      <c r="E104" s="11">
        <v>1</v>
      </c>
      <c r="F104" s="20" t="str">
        <f>IF(C104&lt;=0,"Poor",IF(C104&lt;=1,"Good","Excellent"))</f>
        <v>Good</v>
      </c>
      <c r="G104" s="20" t="str">
        <f>IF(D104&lt;=0,"Poor",IF(D104&lt;=1,"Good","Excellent"))</f>
        <v>Excellent</v>
      </c>
      <c r="H104" s="20" t="str">
        <f>IF(E104&lt;=0,"Poor",IF(E104&lt;=1,"Good","Excellent"))</f>
        <v>Good</v>
      </c>
    </row>
    <row r="105" spans="1:8" x14ac:dyDescent="0.3">
      <c r="A105" s="8" t="s">
        <v>128</v>
      </c>
      <c r="B105" s="8">
        <v>135039</v>
      </c>
      <c r="C105" s="11">
        <v>0</v>
      </c>
      <c r="D105" s="11">
        <v>0</v>
      </c>
      <c r="E105" s="11">
        <v>1</v>
      </c>
      <c r="F105" s="20" t="str">
        <f>IF(C105&lt;=0,"Poor",IF(C105&lt;=1,"Good","Excellent"))</f>
        <v>Poor</v>
      </c>
      <c r="G105" s="20" t="str">
        <f>IF(D105&lt;=0,"Poor",IF(D105&lt;=1,"Good","Excellent"))</f>
        <v>Poor</v>
      </c>
      <c r="H105" s="20" t="str">
        <f>IF(E105&lt;=0,"Poor",IF(E105&lt;=1,"Good","Excellent"))</f>
        <v>Good</v>
      </c>
    </row>
    <row r="106" spans="1:8" x14ac:dyDescent="0.3">
      <c r="A106" s="8" t="s">
        <v>129</v>
      </c>
      <c r="B106" s="8">
        <v>135057</v>
      </c>
      <c r="C106" s="11">
        <v>0</v>
      </c>
      <c r="D106" s="11">
        <v>0</v>
      </c>
      <c r="E106" s="11">
        <v>0</v>
      </c>
      <c r="F106" s="20" t="str">
        <f>IF(C106&lt;=0,"Poor",IF(C106&lt;=1,"Good","Excellent"))</f>
        <v>Poor</v>
      </c>
      <c r="G106" s="20" t="str">
        <f>IF(D106&lt;=0,"Poor",IF(D106&lt;=1,"Good","Excellent"))</f>
        <v>Poor</v>
      </c>
      <c r="H106" s="20" t="str">
        <f>IF(E106&lt;=0,"Poor",IF(E106&lt;=1,"Good","Excellent"))</f>
        <v>Poor</v>
      </c>
    </row>
    <row r="107" spans="1:8" x14ac:dyDescent="0.3">
      <c r="A107" s="8" t="s">
        <v>130</v>
      </c>
      <c r="B107" s="8">
        <v>135041</v>
      </c>
      <c r="C107" s="11">
        <v>1</v>
      </c>
      <c r="D107" s="11">
        <v>1</v>
      </c>
      <c r="E107" s="11">
        <v>1</v>
      </c>
      <c r="F107" s="20" t="str">
        <f>IF(C107&lt;=0,"Poor",IF(C107&lt;=1,"Good","Excellent"))</f>
        <v>Good</v>
      </c>
      <c r="G107" s="20" t="str">
        <f>IF(D107&lt;=0,"Poor",IF(D107&lt;=1,"Good","Excellent"))</f>
        <v>Good</v>
      </c>
      <c r="H107" s="20" t="str">
        <f>IF(E107&lt;=0,"Poor",IF(E107&lt;=1,"Good","Excellent"))</f>
        <v>Good</v>
      </c>
    </row>
    <row r="108" spans="1:8" x14ac:dyDescent="0.3">
      <c r="A108" s="8" t="s">
        <v>131</v>
      </c>
      <c r="B108" s="8">
        <v>132660</v>
      </c>
      <c r="C108" s="11">
        <v>2</v>
      </c>
      <c r="D108" s="11">
        <v>2</v>
      </c>
      <c r="E108" s="11">
        <v>1</v>
      </c>
      <c r="F108" s="20" t="str">
        <f>IF(C108&lt;=0,"Poor",IF(C108&lt;=1,"Good","Excellent"))</f>
        <v>Excellent</v>
      </c>
      <c r="G108" s="20" t="str">
        <f>IF(D108&lt;=0,"Poor",IF(D108&lt;=1,"Good","Excellent"))</f>
        <v>Excellent</v>
      </c>
      <c r="H108" s="20" t="str">
        <f>IF(E108&lt;=0,"Poor",IF(E108&lt;=1,"Good","Excellent"))</f>
        <v>Good</v>
      </c>
    </row>
    <row r="109" spans="1:8" x14ac:dyDescent="0.3">
      <c r="A109" s="8" t="s">
        <v>132</v>
      </c>
      <c r="B109" s="8">
        <v>135075</v>
      </c>
      <c r="C109" s="11">
        <v>2</v>
      </c>
      <c r="D109" s="11">
        <v>2</v>
      </c>
      <c r="E109" s="11">
        <v>2</v>
      </c>
      <c r="F109" s="20" t="str">
        <f>IF(C109&lt;=0,"Poor",IF(C109&lt;=1,"Good","Excellent"))</f>
        <v>Excellent</v>
      </c>
      <c r="G109" s="20" t="str">
        <f>IF(D109&lt;=0,"Poor",IF(D109&lt;=1,"Good","Excellent"))</f>
        <v>Excellent</v>
      </c>
      <c r="H109" s="20" t="str">
        <f>IF(E109&lt;=0,"Poor",IF(E109&lt;=1,"Good","Excellent"))</f>
        <v>Excellent</v>
      </c>
    </row>
    <row r="110" spans="1:8" x14ac:dyDescent="0.3">
      <c r="A110" s="8" t="s">
        <v>134</v>
      </c>
      <c r="B110" s="8">
        <v>135028</v>
      </c>
      <c r="C110" s="11">
        <v>2</v>
      </c>
      <c r="D110" s="11">
        <v>2</v>
      </c>
      <c r="E110" s="11">
        <v>2</v>
      </c>
      <c r="F110" s="20" t="str">
        <f>IF(C110&lt;=0,"Poor",IF(C110&lt;=1,"Good","Excellent"))</f>
        <v>Excellent</v>
      </c>
      <c r="G110" s="20" t="str">
        <f>IF(D110&lt;=0,"Poor",IF(D110&lt;=1,"Good","Excellent"))</f>
        <v>Excellent</v>
      </c>
      <c r="H110" s="20" t="str">
        <f>IF(E110&lt;=0,"Poor",IF(E110&lt;=1,"Good","Excellent"))</f>
        <v>Excellent</v>
      </c>
    </row>
    <row r="111" spans="1:8" x14ac:dyDescent="0.3">
      <c r="A111" s="8" t="s">
        <v>135</v>
      </c>
      <c r="B111" s="8">
        <v>135021</v>
      </c>
      <c r="C111" s="11">
        <v>1</v>
      </c>
      <c r="D111" s="11">
        <v>2</v>
      </c>
      <c r="E111" s="11">
        <v>1</v>
      </c>
      <c r="F111" s="20" t="str">
        <f>IF(C111&lt;=0,"Poor",IF(C111&lt;=1,"Good","Excellent"))</f>
        <v>Good</v>
      </c>
      <c r="G111" s="20" t="str">
        <f>IF(D111&lt;=0,"Poor",IF(D111&lt;=1,"Good","Excellent"))</f>
        <v>Excellent</v>
      </c>
      <c r="H111" s="20" t="str">
        <f>IF(E111&lt;=0,"Poor",IF(E111&lt;=1,"Good","Excellent"))</f>
        <v>Good</v>
      </c>
    </row>
    <row r="112" spans="1:8" x14ac:dyDescent="0.3">
      <c r="A112" s="8" t="s">
        <v>136</v>
      </c>
      <c r="B112" s="8">
        <v>132845</v>
      </c>
      <c r="C112" s="11">
        <v>2</v>
      </c>
      <c r="D112" s="11">
        <v>2</v>
      </c>
      <c r="E112" s="11">
        <v>1</v>
      </c>
      <c r="F112" s="20" t="str">
        <f>IF(C112&lt;=0,"Poor",IF(C112&lt;=1,"Good","Excellent"))</f>
        <v>Excellent</v>
      </c>
      <c r="G112" s="20" t="str">
        <f>IF(D112&lt;=0,"Poor",IF(D112&lt;=1,"Good","Excellent"))</f>
        <v>Excellent</v>
      </c>
      <c r="H112" s="20" t="str">
        <f>IF(E112&lt;=0,"Poor",IF(E112&lt;=1,"Good","Excellent"))</f>
        <v>Good</v>
      </c>
    </row>
    <row r="113" spans="1:8" x14ac:dyDescent="0.3">
      <c r="A113" s="8" t="s">
        <v>137</v>
      </c>
      <c r="B113" s="8">
        <v>135047</v>
      </c>
      <c r="C113" s="11">
        <v>0</v>
      </c>
      <c r="D113" s="11">
        <v>0</v>
      </c>
      <c r="E113" s="11">
        <v>0</v>
      </c>
      <c r="F113" s="20" t="str">
        <f>IF(C113&lt;=0,"Poor",IF(C113&lt;=1,"Good","Excellent"))</f>
        <v>Poor</v>
      </c>
      <c r="G113" s="20" t="str">
        <f>IF(D113&lt;=0,"Poor",IF(D113&lt;=1,"Good","Excellent"))</f>
        <v>Poor</v>
      </c>
      <c r="H113" s="20" t="str">
        <f>IF(E113&lt;=0,"Poor",IF(E113&lt;=1,"Good","Excellent"))</f>
        <v>Poor</v>
      </c>
    </row>
    <row r="114" spans="1:8" x14ac:dyDescent="0.3">
      <c r="A114" s="8" t="s">
        <v>138</v>
      </c>
      <c r="B114" s="8">
        <v>135038</v>
      </c>
      <c r="C114" s="11">
        <v>1</v>
      </c>
      <c r="D114" s="11">
        <v>2</v>
      </c>
      <c r="E114" s="11">
        <v>0</v>
      </c>
      <c r="F114" s="20" t="str">
        <f>IF(C114&lt;=0,"Poor",IF(C114&lt;=1,"Good","Excellent"))</f>
        <v>Good</v>
      </c>
      <c r="G114" s="20" t="str">
        <f>IF(D114&lt;=0,"Poor",IF(D114&lt;=1,"Good","Excellent"))</f>
        <v>Excellent</v>
      </c>
      <c r="H114" s="20" t="str">
        <f>IF(E114&lt;=0,"Poor",IF(E114&lt;=1,"Good","Excellent"))</f>
        <v>Poor</v>
      </c>
    </row>
    <row r="115" spans="1:8" x14ac:dyDescent="0.3">
      <c r="A115" s="8" t="s">
        <v>139</v>
      </c>
      <c r="B115" s="8">
        <v>135053</v>
      </c>
      <c r="C115" s="11">
        <v>0</v>
      </c>
      <c r="D115" s="11">
        <v>0</v>
      </c>
      <c r="E115" s="11">
        <v>0</v>
      </c>
      <c r="F115" s="20" t="str">
        <f>IF(C115&lt;=0,"Poor",IF(C115&lt;=1,"Good","Excellent"))</f>
        <v>Poor</v>
      </c>
      <c r="G115" s="20" t="str">
        <f>IF(D115&lt;=0,"Poor",IF(D115&lt;=1,"Good","Excellent"))</f>
        <v>Poor</v>
      </c>
      <c r="H115" s="20" t="str">
        <f>IF(E115&lt;=0,"Poor",IF(E115&lt;=1,"Good","Excellent"))</f>
        <v>Poor</v>
      </c>
    </row>
    <row r="116" spans="1:8" x14ac:dyDescent="0.3">
      <c r="A116" s="8" t="s">
        <v>140</v>
      </c>
      <c r="B116" s="8">
        <v>135057</v>
      </c>
      <c r="C116" s="11">
        <v>2</v>
      </c>
      <c r="D116" s="11">
        <v>2</v>
      </c>
      <c r="E116" s="11">
        <v>2</v>
      </c>
      <c r="F116" s="20" t="str">
        <f>IF(C116&lt;=0,"Poor",IF(C116&lt;=1,"Good","Excellent"))</f>
        <v>Excellent</v>
      </c>
      <c r="G116" s="20" t="str">
        <f>IF(D116&lt;=0,"Poor",IF(D116&lt;=1,"Good","Excellent"))</f>
        <v>Excellent</v>
      </c>
      <c r="H116" s="20" t="str">
        <f>IF(E116&lt;=0,"Poor",IF(E116&lt;=1,"Good","Excellent"))</f>
        <v>Excellent</v>
      </c>
    </row>
    <row r="117" spans="1:8" x14ac:dyDescent="0.3">
      <c r="A117" s="8" t="s">
        <v>141</v>
      </c>
      <c r="B117" s="8">
        <v>135047</v>
      </c>
      <c r="C117" s="11">
        <v>2</v>
      </c>
      <c r="D117" s="11">
        <v>2</v>
      </c>
      <c r="E117" s="11">
        <v>2</v>
      </c>
      <c r="F117" s="20" t="str">
        <f>IF(C117&lt;=0,"Poor",IF(C117&lt;=1,"Good","Excellent"))</f>
        <v>Excellent</v>
      </c>
      <c r="G117" s="20" t="str">
        <f>IF(D117&lt;=0,"Poor",IF(D117&lt;=1,"Good","Excellent"))</f>
        <v>Excellent</v>
      </c>
      <c r="H117" s="20" t="str">
        <f>IF(E117&lt;=0,"Poor",IF(E117&lt;=1,"Good","Excellent"))</f>
        <v>Excellent</v>
      </c>
    </row>
    <row r="118" spans="1:8" x14ac:dyDescent="0.3">
      <c r="A118" s="8" t="s">
        <v>142</v>
      </c>
      <c r="B118" s="8">
        <v>135018</v>
      </c>
      <c r="C118" s="11">
        <v>1</v>
      </c>
      <c r="D118" s="11">
        <v>1</v>
      </c>
      <c r="E118" s="11">
        <v>1</v>
      </c>
      <c r="F118" s="20" t="str">
        <f>IF(C118&lt;=0,"Poor",IF(C118&lt;=1,"Good","Excellent"))</f>
        <v>Good</v>
      </c>
      <c r="G118" s="20" t="str">
        <f>IF(D118&lt;=0,"Poor",IF(D118&lt;=1,"Good","Excellent"))</f>
        <v>Good</v>
      </c>
      <c r="H118" s="20" t="str">
        <f>IF(E118&lt;=0,"Poor",IF(E118&lt;=1,"Good","Excellent"))</f>
        <v>Good</v>
      </c>
    </row>
    <row r="119" spans="1:8" x14ac:dyDescent="0.3">
      <c r="A119" s="8" t="s">
        <v>144</v>
      </c>
      <c r="B119" s="8">
        <v>134987</v>
      </c>
      <c r="C119" s="11">
        <v>0</v>
      </c>
      <c r="D119" s="11">
        <v>0</v>
      </c>
      <c r="E119" s="11">
        <v>0</v>
      </c>
      <c r="F119" s="20" t="str">
        <f>IF(C119&lt;=0,"Poor",IF(C119&lt;=1,"Good","Excellent"))</f>
        <v>Poor</v>
      </c>
      <c r="G119" s="20" t="str">
        <f>IF(D119&lt;=0,"Poor",IF(D119&lt;=1,"Good","Excellent"))</f>
        <v>Poor</v>
      </c>
      <c r="H119" s="20" t="str">
        <f>IF(E119&lt;=0,"Poor",IF(E119&lt;=1,"Good","Excellent"))</f>
        <v>Poor</v>
      </c>
    </row>
    <row r="120" spans="1:8" x14ac:dyDescent="0.3">
      <c r="A120" s="8" t="s">
        <v>145</v>
      </c>
      <c r="B120" s="8">
        <v>134986</v>
      </c>
      <c r="C120" s="11">
        <v>2</v>
      </c>
      <c r="D120" s="11">
        <v>2</v>
      </c>
      <c r="E120" s="11">
        <v>2</v>
      </c>
      <c r="F120" s="20" t="str">
        <f>IF(C120&lt;=0,"Poor",IF(C120&lt;=1,"Good","Excellent"))</f>
        <v>Excellent</v>
      </c>
      <c r="G120" s="20" t="str">
        <f>IF(D120&lt;=0,"Poor",IF(D120&lt;=1,"Good","Excellent"))</f>
        <v>Excellent</v>
      </c>
      <c r="H120" s="20" t="str">
        <f>IF(E120&lt;=0,"Poor",IF(E120&lt;=1,"Good","Excellent"))</f>
        <v>Excellent</v>
      </c>
    </row>
    <row r="121" spans="1:8" x14ac:dyDescent="0.3">
      <c r="A121" s="8" t="s">
        <v>146</v>
      </c>
      <c r="B121" s="8">
        <v>135085</v>
      </c>
      <c r="C121" s="11">
        <v>0</v>
      </c>
      <c r="D121" s="11">
        <v>0</v>
      </c>
      <c r="E121" s="11">
        <v>0</v>
      </c>
      <c r="F121" s="20" t="str">
        <f>IF(C121&lt;=0,"Poor",IF(C121&lt;=1,"Good","Excellent"))</f>
        <v>Poor</v>
      </c>
      <c r="G121" s="20" t="str">
        <f>IF(D121&lt;=0,"Poor",IF(D121&lt;=1,"Good","Excellent"))</f>
        <v>Poor</v>
      </c>
      <c r="H121" s="20" t="str">
        <f>IF(E121&lt;=0,"Poor",IF(E121&lt;=1,"Good","Excellent"))</f>
        <v>Poor</v>
      </c>
    </row>
    <row r="122" spans="1:8" x14ac:dyDescent="0.3">
      <c r="A122" s="8" t="s">
        <v>147</v>
      </c>
      <c r="B122" s="8">
        <v>135021</v>
      </c>
      <c r="C122" s="11">
        <v>0</v>
      </c>
      <c r="D122" s="11">
        <v>0</v>
      </c>
      <c r="E122" s="11">
        <v>0</v>
      </c>
      <c r="F122" s="20" t="str">
        <f>IF(C122&lt;=0,"Poor",IF(C122&lt;=1,"Good","Excellent"))</f>
        <v>Poor</v>
      </c>
      <c r="G122" s="20" t="str">
        <f>IF(D122&lt;=0,"Poor",IF(D122&lt;=1,"Good","Excellent"))</f>
        <v>Poor</v>
      </c>
      <c r="H122" s="20" t="str">
        <f>IF(E122&lt;=0,"Poor",IF(E122&lt;=1,"Good","Excellent"))</f>
        <v>Poor</v>
      </c>
    </row>
    <row r="123" spans="1:8" x14ac:dyDescent="0.3">
      <c r="A123" s="8" t="s">
        <v>148</v>
      </c>
      <c r="B123" s="8">
        <v>135066</v>
      </c>
      <c r="C123" s="11">
        <v>2</v>
      </c>
      <c r="D123" s="11">
        <v>1</v>
      </c>
      <c r="E123" s="11">
        <v>1</v>
      </c>
      <c r="F123" s="20" t="str">
        <f>IF(C123&lt;=0,"Poor",IF(C123&lt;=1,"Good","Excellent"))</f>
        <v>Excellent</v>
      </c>
      <c r="G123" s="20" t="str">
        <f>IF(D123&lt;=0,"Poor",IF(D123&lt;=1,"Good","Excellent"))</f>
        <v>Good</v>
      </c>
      <c r="H123" s="20" t="str">
        <f>IF(E123&lt;=0,"Poor",IF(E123&lt;=1,"Good","Excellent"))</f>
        <v>Good</v>
      </c>
    </row>
    <row r="124" spans="1:8" x14ac:dyDescent="0.3">
      <c r="A124" s="8" t="s">
        <v>149</v>
      </c>
      <c r="B124" s="8">
        <v>132733</v>
      </c>
      <c r="C124" s="11">
        <v>1</v>
      </c>
      <c r="D124" s="11">
        <v>2</v>
      </c>
      <c r="E124" s="11">
        <v>1</v>
      </c>
      <c r="F124" s="20" t="str">
        <f>IF(C124&lt;=0,"Poor",IF(C124&lt;=1,"Good","Excellent"))</f>
        <v>Good</v>
      </c>
      <c r="G124" s="20" t="str">
        <f>IF(D124&lt;=0,"Poor",IF(D124&lt;=1,"Good","Excellent"))</f>
        <v>Excellent</v>
      </c>
      <c r="H124" s="20" t="str">
        <f>IF(E124&lt;=0,"Poor",IF(E124&lt;=1,"Good","Excellent"))</f>
        <v>Good</v>
      </c>
    </row>
    <row r="125" spans="1:8" x14ac:dyDescent="0.3">
      <c r="A125" s="8" t="s">
        <v>150</v>
      </c>
      <c r="B125" s="8">
        <v>135054</v>
      </c>
      <c r="C125" s="11">
        <v>1</v>
      </c>
      <c r="D125" s="11">
        <v>1</v>
      </c>
      <c r="E125" s="11">
        <v>1</v>
      </c>
      <c r="F125" s="20" t="str">
        <f>IF(C125&lt;=0,"Poor",IF(C125&lt;=1,"Good","Excellent"))</f>
        <v>Good</v>
      </c>
      <c r="G125" s="20" t="str">
        <f>IF(D125&lt;=0,"Poor",IF(D125&lt;=1,"Good","Excellent"))</f>
        <v>Good</v>
      </c>
      <c r="H125" s="20" t="str">
        <f>IF(E125&lt;=0,"Poor",IF(E125&lt;=1,"Good","Excellent"))</f>
        <v>Good</v>
      </c>
    </row>
    <row r="126" spans="1:8" x14ac:dyDescent="0.3">
      <c r="A126" s="8" t="s">
        <v>151</v>
      </c>
      <c r="B126" s="8">
        <v>135043</v>
      </c>
      <c r="C126" s="11">
        <v>1</v>
      </c>
      <c r="D126" s="11">
        <v>1</v>
      </c>
      <c r="E126" s="11">
        <v>2</v>
      </c>
      <c r="F126" s="20" t="str">
        <f>IF(C126&lt;=0,"Poor",IF(C126&lt;=1,"Good","Excellent"))</f>
        <v>Good</v>
      </c>
      <c r="G126" s="20" t="str">
        <f>IF(D126&lt;=0,"Poor",IF(D126&lt;=1,"Good","Excellent"))</f>
        <v>Good</v>
      </c>
      <c r="H126" s="20" t="str">
        <f>IF(E126&lt;=0,"Poor",IF(E126&lt;=1,"Good","Excellent"))</f>
        <v>Excellent</v>
      </c>
    </row>
    <row r="127" spans="1:8" x14ac:dyDescent="0.3">
      <c r="A127" s="8" t="s">
        <v>152</v>
      </c>
      <c r="B127" s="8">
        <v>135069</v>
      </c>
      <c r="C127" s="11">
        <v>0</v>
      </c>
      <c r="D127" s="11">
        <v>0</v>
      </c>
      <c r="E127" s="11">
        <v>0</v>
      </c>
      <c r="F127" s="20" t="str">
        <f>IF(C127&lt;=0,"Poor",IF(C127&lt;=1,"Good","Excellent"))</f>
        <v>Poor</v>
      </c>
      <c r="G127" s="20" t="str">
        <f>IF(D127&lt;=0,"Poor",IF(D127&lt;=1,"Good","Excellent"))</f>
        <v>Poor</v>
      </c>
      <c r="H127" s="20" t="str">
        <f>IF(E127&lt;=0,"Poor",IF(E127&lt;=1,"Good","Excellent"))</f>
        <v>Poor</v>
      </c>
    </row>
    <row r="128" spans="1:8" x14ac:dyDescent="0.3">
      <c r="A128" s="8" t="s">
        <v>153</v>
      </c>
      <c r="B128" s="8">
        <v>134975</v>
      </c>
      <c r="C128" s="11">
        <v>2</v>
      </c>
      <c r="D128" s="11">
        <v>2</v>
      </c>
      <c r="E128" s="11">
        <v>2</v>
      </c>
      <c r="F128" s="20" t="str">
        <f>IF(C128&lt;=0,"Poor",IF(C128&lt;=1,"Good","Excellent"))</f>
        <v>Excellent</v>
      </c>
      <c r="G128" s="20" t="str">
        <f>IF(D128&lt;=0,"Poor",IF(D128&lt;=1,"Good","Excellent"))</f>
        <v>Excellent</v>
      </c>
      <c r="H128" s="20" t="str">
        <f>IF(E128&lt;=0,"Poor",IF(E128&lt;=1,"Good","Excellent"))</f>
        <v>Excellent</v>
      </c>
    </row>
    <row r="129" spans="1:8" x14ac:dyDescent="0.3">
      <c r="A129" s="8" t="s">
        <v>154</v>
      </c>
      <c r="B129" s="8">
        <v>132872</v>
      </c>
      <c r="C129" s="11">
        <v>0</v>
      </c>
      <c r="D129" s="11">
        <v>0</v>
      </c>
      <c r="E129" s="11">
        <v>0</v>
      </c>
      <c r="F129" s="20" t="str">
        <f>IF(C129&lt;=0,"Poor",IF(C129&lt;=1,"Good","Excellent"))</f>
        <v>Poor</v>
      </c>
      <c r="G129" s="20" t="str">
        <f>IF(D129&lt;=0,"Poor",IF(D129&lt;=1,"Good","Excellent"))</f>
        <v>Poor</v>
      </c>
      <c r="H129" s="20" t="str">
        <f>IF(E129&lt;=0,"Poor",IF(E129&lt;=1,"Good","Excellent"))</f>
        <v>Poor</v>
      </c>
    </row>
    <row r="130" spans="1:8" x14ac:dyDescent="0.3">
      <c r="A130" s="8" t="s">
        <v>155</v>
      </c>
      <c r="B130" s="8">
        <v>132706</v>
      </c>
      <c r="C130" s="11">
        <v>0</v>
      </c>
      <c r="D130" s="11">
        <v>0</v>
      </c>
      <c r="E130" s="11">
        <v>1</v>
      </c>
      <c r="F130" s="20" t="str">
        <f>IF(C130&lt;=0,"Poor",IF(C130&lt;=1,"Good","Excellent"))</f>
        <v>Poor</v>
      </c>
      <c r="G130" s="20" t="str">
        <f>IF(D130&lt;=0,"Poor",IF(D130&lt;=1,"Good","Excellent"))</f>
        <v>Poor</v>
      </c>
      <c r="H130" s="20" t="str">
        <f>IF(E130&lt;=0,"Poor",IF(E130&lt;=1,"Good","Excellent"))</f>
        <v>Good</v>
      </c>
    </row>
    <row r="131" spans="1:8" x14ac:dyDescent="0.3">
      <c r="A131" s="8" t="s">
        <v>156</v>
      </c>
      <c r="B131" s="8">
        <v>132654</v>
      </c>
      <c r="C131" s="11">
        <v>0</v>
      </c>
      <c r="D131" s="11">
        <v>0</v>
      </c>
      <c r="E131" s="11">
        <v>0</v>
      </c>
      <c r="F131" s="20" t="str">
        <f>IF(C131&lt;=0,"Poor",IF(C131&lt;=1,"Good","Excellent"))</f>
        <v>Poor</v>
      </c>
      <c r="G131" s="20" t="str">
        <f>IF(D131&lt;=0,"Poor",IF(D131&lt;=1,"Good","Excellent"))</f>
        <v>Poor</v>
      </c>
      <c r="H131" s="20" t="str">
        <f>IF(E131&lt;=0,"Poor",IF(E131&lt;=1,"Good","Excellent"))</f>
        <v>Poor</v>
      </c>
    </row>
    <row r="132" spans="1:8" x14ac:dyDescent="0.3">
      <c r="A132" s="8" t="s">
        <v>157</v>
      </c>
      <c r="B132" s="8">
        <v>135054</v>
      </c>
      <c r="C132" s="11">
        <v>2</v>
      </c>
      <c r="D132" s="11">
        <v>1</v>
      </c>
      <c r="E132" s="11">
        <v>2</v>
      </c>
      <c r="F132" s="20" t="str">
        <f>IF(C132&lt;=0,"Poor",IF(C132&lt;=1,"Good","Excellent"))</f>
        <v>Excellent</v>
      </c>
      <c r="G132" s="20" t="str">
        <f>IF(D132&lt;=0,"Poor",IF(D132&lt;=1,"Good","Excellent"))</f>
        <v>Good</v>
      </c>
      <c r="H132" s="20" t="str">
        <f>IF(E132&lt;=0,"Poor",IF(E132&lt;=1,"Good","Excellent"))</f>
        <v>Excellent</v>
      </c>
    </row>
    <row r="133" spans="1:8" x14ac:dyDescent="0.3">
      <c r="A133" s="8" t="s">
        <v>158</v>
      </c>
      <c r="B133" s="8">
        <v>135038</v>
      </c>
      <c r="C133" s="11">
        <v>1</v>
      </c>
      <c r="D133" s="11">
        <v>1</v>
      </c>
      <c r="E133" s="11">
        <v>1</v>
      </c>
      <c r="F133" s="20" t="str">
        <f>IF(C133&lt;=0,"Poor",IF(C133&lt;=1,"Good","Excellent"))</f>
        <v>Good</v>
      </c>
      <c r="G133" s="20" t="str">
        <f>IF(D133&lt;=0,"Poor",IF(D133&lt;=1,"Good","Excellent"))</f>
        <v>Good</v>
      </c>
      <c r="H133" s="20" t="str">
        <f>IF(E133&lt;=0,"Poor",IF(E133&lt;=1,"Good","Excellent"))</f>
        <v>Good</v>
      </c>
    </row>
    <row r="134" spans="1:8" x14ac:dyDescent="0.3">
      <c r="A134" s="8" t="s">
        <v>159</v>
      </c>
      <c r="B134" s="8">
        <v>134983</v>
      </c>
      <c r="C134" s="11">
        <v>1</v>
      </c>
      <c r="D134" s="11">
        <v>1</v>
      </c>
      <c r="E134" s="11">
        <v>1</v>
      </c>
      <c r="F134" s="20" t="str">
        <f>IF(C134&lt;=0,"Poor",IF(C134&lt;=1,"Good","Excellent"))</f>
        <v>Good</v>
      </c>
      <c r="G134" s="20" t="str">
        <f>IF(D134&lt;=0,"Poor",IF(D134&lt;=1,"Good","Excellent"))</f>
        <v>Good</v>
      </c>
      <c r="H134" s="20" t="str">
        <f>IF(E134&lt;=0,"Poor",IF(E134&lt;=1,"Good","Excellent"))</f>
        <v>Good</v>
      </c>
    </row>
    <row r="135" spans="1:8" x14ac:dyDescent="0.3">
      <c r="A135" s="8" t="s">
        <v>160</v>
      </c>
      <c r="B135" s="8">
        <v>135047</v>
      </c>
      <c r="C135" s="11">
        <v>1</v>
      </c>
      <c r="D135" s="11">
        <v>1</v>
      </c>
      <c r="E135" s="11">
        <v>1</v>
      </c>
      <c r="F135" s="20" t="str">
        <f>IF(C135&lt;=0,"Poor",IF(C135&lt;=1,"Good","Excellent"))</f>
        <v>Good</v>
      </c>
      <c r="G135" s="20" t="str">
        <f>IF(D135&lt;=0,"Poor",IF(D135&lt;=1,"Good","Excellent"))</f>
        <v>Good</v>
      </c>
      <c r="H135" s="20" t="str">
        <f>IF(E135&lt;=0,"Poor",IF(E135&lt;=1,"Good","Excellent"))</f>
        <v>Good</v>
      </c>
    </row>
    <row r="136" spans="1:8" x14ac:dyDescent="0.3">
      <c r="A136" s="8" t="s">
        <v>161</v>
      </c>
      <c r="B136" s="8">
        <v>135085</v>
      </c>
      <c r="C136" s="11">
        <v>0</v>
      </c>
      <c r="D136" s="11">
        <v>0</v>
      </c>
      <c r="E136" s="11">
        <v>0</v>
      </c>
      <c r="F136" s="20" t="str">
        <f>IF(C136&lt;=0,"Poor",IF(C136&lt;=1,"Good","Excellent"))</f>
        <v>Poor</v>
      </c>
      <c r="G136" s="20" t="str">
        <f>IF(D136&lt;=0,"Poor",IF(D136&lt;=1,"Good","Excellent"))</f>
        <v>Poor</v>
      </c>
      <c r="H136" s="20" t="str">
        <f>IF(E136&lt;=0,"Poor",IF(E136&lt;=1,"Good","Excellent"))</f>
        <v>Poor</v>
      </c>
    </row>
    <row r="137" spans="1:8" x14ac:dyDescent="0.3">
      <c r="A137" s="8" t="s">
        <v>168</v>
      </c>
      <c r="B137" s="8">
        <v>135074</v>
      </c>
      <c r="C137" s="11">
        <v>1</v>
      </c>
      <c r="D137" s="11">
        <v>1</v>
      </c>
      <c r="E137" s="11">
        <v>2</v>
      </c>
      <c r="F137" s="20" t="str">
        <f>IF(C137&lt;=0,"Poor",IF(C137&lt;=1,"Good","Excellent"))</f>
        <v>Good</v>
      </c>
      <c r="G137" s="20" t="str">
        <f>IF(D137&lt;=0,"Poor",IF(D137&lt;=1,"Good","Excellent"))</f>
        <v>Good</v>
      </c>
      <c r="H137" s="20" t="str">
        <f>IF(E137&lt;=0,"Poor",IF(E137&lt;=1,"Good","Excellent"))</f>
        <v>Excellent</v>
      </c>
    </row>
    <row r="138" spans="1:8" x14ac:dyDescent="0.3">
      <c r="A138" s="8" t="s">
        <v>169</v>
      </c>
      <c r="B138" s="8">
        <v>132951</v>
      </c>
      <c r="C138" s="11">
        <v>2</v>
      </c>
      <c r="D138" s="11">
        <v>2</v>
      </c>
      <c r="E138" s="11">
        <v>2</v>
      </c>
      <c r="F138" s="20" t="str">
        <f>IF(C138&lt;=0,"Poor",IF(C138&lt;=1,"Good","Excellent"))</f>
        <v>Excellent</v>
      </c>
      <c r="G138" s="20" t="str">
        <f>IF(D138&lt;=0,"Poor",IF(D138&lt;=1,"Good","Excellent"))</f>
        <v>Excellent</v>
      </c>
      <c r="H138" s="20" t="str">
        <f>IF(E138&lt;=0,"Poor",IF(E138&lt;=1,"Good","Excellent"))</f>
        <v>Excellent</v>
      </c>
    </row>
    <row r="139" spans="1:8" x14ac:dyDescent="0.3">
      <c r="A139" s="8" t="s">
        <v>170</v>
      </c>
      <c r="B139" s="8">
        <v>132921</v>
      </c>
      <c r="C139" s="11">
        <v>2</v>
      </c>
      <c r="D139" s="11">
        <v>2</v>
      </c>
      <c r="E139" s="11">
        <v>1</v>
      </c>
      <c r="F139" s="20" t="str">
        <f>IF(C139&lt;=0,"Poor",IF(C139&lt;=1,"Good","Excellent"))</f>
        <v>Excellent</v>
      </c>
      <c r="G139" s="20" t="str">
        <f>IF(D139&lt;=0,"Poor",IF(D139&lt;=1,"Good","Excellent"))</f>
        <v>Excellent</v>
      </c>
      <c r="H139" s="20" t="str">
        <f>IF(E139&lt;=0,"Poor",IF(E139&lt;=1,"Good","Excellent"))</f>
        <v>Good</v>
      </c>
    </row>
  </sheetData>
  <conditionalFormatting sqref="A1:E139">
    <cfRule type="containsBlanks" priority="2">
      <formula>LEN(TRIM(A1))=0</formula>
    </cfRule>
  </conditionalFormatting>
  <conditionalFormatting sqref="F1:H1">
    <cfRule type="containsBlanks" priority="1">
      <formula>LEN(TRIM(F1))=0</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5E3C-033E-4707-9F12-53FD4C182576}">
  <sheetPr>
    <tabColor theme="0" tint="-0.249977111117893"/>
  </sheetPr>
  <dimension ref="A1:M113"/>
  <sheetViews>
    <sheetView workbookViewId="0">
      <selection activeCell="M19" sqref="M19"/>
    </sheetView>
  </sheetViews>
  <sheetFormatPr defaultRowHeight="14.4" x14ac:dyDescent="0.3"/>
  <cols>
    <col min="1" max="1" width="14" customWidth="1"/>
    <col min="2" max="2" width="13.6640625" style="16" customWidth="1"/>
    <col min="12" max="12" width="13.6640625" customWidth="1"/>
    <col min="13" max="13" width="13.6640625" style="16" customWidth="1"/>
  </cols>
  <sheetData>
    <row r="1" spans="1:13" x14ac:dyDescent="0.3">
      <c r="A1" s="1" t="s">
        <v>215</v>
      </c>
      <c r="B1" s="15" t="s">
        <v>216</v>
      </c>
      <c r="M1" s="15"/>
    </row>
    <row r="2" spans="1:13" x14ac:dyDescent="0.3">
      <c r="A2" s="8">
        <v>132560</v>
      </c>
      <c r="B2" s="16" t="s">
        <v>29</v>
      </c>
    </row>
    <row r="3" spans="1:13" x14ac:dyDescent="0.3">
      <c r="A3" s="8">
        <v>132572</v>
      </c>
      <c r="B3" s="16" t="s">
        <v>11</v>
      </c>
    </row>
    <row r="4" spans="1:13" x14ac:dyDescent="0.3">
      <c r="A4" s="8">
        <v>132583</v>
      </c>
      <c r="B4" s="16" t="s">
        <v>1</v>
      </c>
    </row>
    <row r="5" spans="1:13" x14ac:dyDescent="0.3">
      <c r="A5" s="8">
        <v>132584</v>
      </c>
      <c r="B5" s="16" t="s">
        <v>3</v>
      </c>
    </row>
    <row r="6" spans="1:13" x14ac:dyDescent="0.3">
      <c r="A6" s="8">
        <v>132594</v>
      </c>
      <c r="B6" s="16" t="s">
        <v>3</v>
      </c>
    </row>
    <row r="7" spans="1:13" x14ac:dyDescent="0.3">
      <c r="A7" s="8">
        <v>132608</v>
      </c>
      <c r="B7" s="16" t="s">
        <v>3</v>
      </c>
    </row>
    <row r="8" spans="1:13" x14ac:dyDescent="0.3">
      <c r="A8" s="8">
        <v>132609</v>
      </c>
      <c r="B8" s="16" t="s">
        <v>21</v>
      </c>
    </row>
    <row r="9" spans="1:13" x14ac:dyDescent="0.3">
      <c r="A9" s="8">
        <v>132613</v>
      </c>
      <c r="B9" s="16" t="s">
        <v>3</v>
      </c>
    </row>
    <row r="10" spans="1:13" x14ac:dyDescent="0.3">
      <c r="A10" s="8">
        <v>132626</v>
      </c>
      <c r="B10" s="16" t="s">
        <v>18</v>
      </c>
    </row>
    <row r="11" spans="1:13" x14ac:dyDescent="0.3">
      <c r="A11" s="8">
        <v>132630</v>
      </c>
      <c r="B11" s="16" t="s">
        <v>3</v>
      </c>
    </row>
    <row r="12" spans="1:13" x14ac:dyDescent="0.3">
      <c r="A12" s="8">
        <v>132663</v>
      </c>
      <c r="B12" s="16" t="s">
        <v>3</v>
      </c>
    </row>
    <row r="13" spans="1:13" x14ac:dyDescent="0.3">
      <c r="A13" s="8">
        <v>132665</v>
      </c>
      <c r="B13" s="16" t="s">
        <v>3</v>
      </c>
    </row>
    <row r="14" spans="1:13" x14ac:dyDescent="0.3">
      <c r="A14" s="8">
        <v>132667</v>
      </c>
      <c r="B14" s="16" t="s">
        <v>165</v>
      </c>
    </row>
    <row r="15" spans="1:13" x14ac:dyDescent="0.3">
      <c r="A15" s="8">
        <v>132668</v>
      </c>
      <c r="B15" s="16" t="s">
        <v>3</v>
      </c>
    </row>
    <row r="16" spans="1:13" x14ac:dyDescent="0.3">
      <c r="A16" s="8">
        <v>132706</v>
      </c>
      <c r="B16" s="16" t="s">
        <v>3</v>
      </c>
    </row>
    <row r="17" spans="1:2" x14ac:dyDescent="0.3">
      <c r="A17" s="8">
        <v>132715</v>
      </c>
      <c r="B17" s="16" t="s">
        <v>3</v>
      </c>
    </row>
    <row r="18" spans="1:2" x14ac:dyDescent="0.3">
      <c r="A18" s="8">
        <v>132717</v>
      </c>
      <c r="B18" s="16" t="s">
        <v>21</v>
      </c>
    </row>
    <row r="19" spans="1:2" x14ac:dyDescent="0.3">
      <c r="A19" s="8">
        <v>132723</v>
      </c>
      <c r="B19" s="16" t="s">
        <v>3</v>
      </c>
    </row>
    <row r="20" spans="1:2" x14ac:dyDescent="0.3">
      <c r="A20" s="8">
        <v>132732</v>
      </c>
      <c r="B20" s="16" t="s">
        <v>3</v>
      </c>
    </row>
    <row r="21" spans="1:2" x14ac:dyDescent="0.3">
      <c r="A21" s="8">
        <v>132733</v>
      </c>
      <c r="B21" s="16" t="s">
        <v>37</v>
      </c>
    </row>
    <row r="22" spans="1:2" x14ac:dyDescent="0.3">
      <c r="A22" s="8">
        <v>132740</v>
      </c>
      <c r="B22" s="16" t="s">
        <v>3</v>
      </c>
    </row>
    <row r="23" spans="1:2" x14ac:dyDescent="0.3">
      <c r="A23" s="8">
        <v>132754</v>
      </c>
      <c r="B23" s="16" t="s">
        <v>3</v>
      </c>
    </row>
    <row r="24" spans="1:2" x14ac:dyDescent="0.3">
      <c r="A24" s="8">
        <v>132755</v>
      </c>
      <c r="B24" s="16" t="s">
        <v>3</v>
      </c>
    </row>
    <row r="25" spans="1:2" x14ac:dyDescent="0.3">
      <c r="A25" s="8">
        <v>132766</v>
      </c>
      <c r="B25" s="16" t="s">
        <v>8</v>
      </c>
    </row>
    <row r="26" spans="1:2" x14ac:dyDescent="0.3">
      <c r="A26" s="8">
        <v>132767</v>
      </c>
      <c r="B26" s="16" t="s">
        <v>167</v>
      </c>
    </row>
    <row r="27" spans="1:2" x14ac:dyDescent="0.3">
      <c r="A27" s="8">
        <v>132768</v>
      </c>
      <c r="B27" s="16" t="s">
        <v>15</v>
      </c>
    </row>
    <row r="28" spans="1:2" x14ac:dyDescent="0.3">
      <c r="A28" s="8">
        <v>132773</v>
      </c>
      <c r="B28" s="16" t="s">
        <v>15</v>
      </c>
    </row>
    <row r="29" spans="1:2" x14ac:dyDescent="0.3">
      <c r="A29" s="8">
        <v>132773</v>
      </c>
      <c r="B29" s="16" t="s">
        <v>3</v>
      </c>
    </row>
    <row r="30" spans="1:2" x14ac:dyDescent="0.3">
      <c r="A30" s="8">
        <v>132825</v>
      </c>
      <c r="B30" s="16" t="s">
        <v>3</v>
      </c>
    </row>
    <row r="31" spans="1:2" x14ac:dyDescent="0.3">
      <c r="A31" s="8">
        <v>132834</v>
      </c>
      <c r="B31" s="16" t="s">
        <v>3</v>
      </c>
    </row>
    <row r="32" spans="1:2" x14ac:dyDescent="0.3">
      <c r="A32" s="8">
        <v>132845</v>
      </c>
      <c r="B32" s="16" t="s">
        <v>3</v>
      </c>
    </row>
    <row r="33" spans="1:2" x14ac:dyDescent="0.3">
      <c r="A33" s="8">
        <v>132846</v>
      </c>
      <c r="B33" s="16" t="s">
        <v>164</v>
      </c>
    </row>
    <row r="34" spans="1:2" x14ac:dyDescent="0.3">
      <c r="A34" s="8">
        <v>132851</v>
      </c>
      <c r="B34" s="16" t="s">
        <v>1</v>
      </c>
    </row>
    <row r="35" spans="1:2" x14ac:dyDescent="0.3">
      <c r="A35" s="8">
        <v>132851</v>
      </c>
      <c r="B35" s="16" t="s">
        <v>116</v>
      </c>
    </row>
    <row r="36" spans="1:2" x14ac:dyDescent="0.3">
      <c r="A36" s="8">
        <v>132854</v>
      </c>
      <c r="B36" s="16" t="s">
        <v>164</v>
      </c>
    </row>
    <row r="37" spans="1:2" x14ac:dyDescent="0.3">
      <c r="A37" s="8">
        <v>132856</v>
      </c>
      <c r="B37" s="16" t="s">
        <v>18</v>
      </c>
    </row>
    <row r="38" spans="1:2" x14ac:dyDescent="0.3">
      <c r="A38" s="8">
        <v>132858</v>
      </c>
      <c r="B38" s="16" t="s">
        <v>38</v>
      </c>
    </row>
    <row r="39" spans="1:2" x14ac:dyDescent="0.3">
      <c r="A39" s="8">
        <v>132861</v>
      </c>
      <c r="B39" s="16" t="s">
        <v>38</v>
      </c>
    </row>
    <row r="40" spans="1:2" x14ac:dyDescent="0.3">
      <c r="A40" s="8">
        <v>132862</v>
      </c>
      <c r="B40" s="16" t="s">
        <v>164</v>
      </c>
    </row>
    <row r="41" spans="1:2" x14ac:dyDescent="0.3">
      <c r="A41" s="8">
        <v>132866</v>
      </c>
      <c r="B41" s="16" t="s">
        <v>6</v>
      </c>
    </row>
    <row r="42" spans="1:2" x14ac:dyDescent="0.3">
      <c r="A42" s="8">
        <v>132866</v>
      </c>
      <c r="B42" s="16" t="s">
        <v>11</v>
      </c>
    </row>
    <row r="43" spans="1:2" x14ac:dyDescent="0.3">
      <c r="A43" s="8">
        <v>132869</v>
      </c>
      <c r="B43" s="16" t="s">
        <v>37</v>
      </c>
    </row>
    <row r="44" spans="1:2" x14ac:dyDescent="0.3">
      <c r="A44" s="8">
        <v>132870</v>
      </c>
      <c r="B44" s="16" t="s">
        <v>38</v>
      </c>
    </row>
    <row r="45" spans="1:2" x14ac:dyDescent="0.3">
      <c r="A45" s="8">
        <v>132872</v>
      </c>
      <c r="B45" s="16" t="s">
        <v>1</v>
      </c>
    </row>
    <row r="46" spans="1:2" x14ac:dyDescent="0.3">
      <c r="A46" s="8">
        <v>132875</v>
      </c>
      <c r="B46" s="16" t="s">
        <v>8</v>
      </c>
    </row>
    <row r="47" spans="1:2" x14ac:dyDescent="0.3">
      <c r="A47" s="8">
        <v>132885</v>
      </c>
      <c r="B47" s="16" t="s">
        <v>11</v>
      </c>
    </row>
    <row r="48" spans="1:2" x14ac:dyDescent="0.3">
      <c r="A48" s="8">
        <v>132921</v>
      </c>
      <c r="B48" s="16" t="s">
        <v>66</v>
      </c>
    </row>
    <row r="49" spans="1:2" x14ac:dyDescent="0.3">
      <c r="A49" s="8">
        <v>132922</v>
      </c>
      <c r="B49" s="16" t="s">
        <v>11</v>
      </c>
    </row>
    <row r="50" spans="1:2" x14ac:dyDescent="0.3">
      <c r="A50" s="8">
        <v>132925</v>
      </c>
      <c r="B50" s="16" t="s">
        <v>3</v>
      </c>
    </row>
    <row r="51" spans="1:2" x14ac:dyDescent="0.3">
      <c r="A51" s="8">
        <v>132937</v>
      </c>
      <c r="B51" s="16" t="s">
        <v>66</v>
      </c>
    </row>
    <row r="52" spans="1:2" x14ac:dyDescent="0.3">
      <c r="A52" s="8">
        <v>132951</v>
      </c>
      <c r="B52" s="16" t="s">
        <v>1</v>
      </c>
    </row>
    <row r="53" spans="1:2" x14ac:dyDescent="0.3">
      <c r="A53" s="8">
        <v>132954</v>
      </c>
      <c r="B53" s="16" t="s">
        <v>7</v>
      </c>
    </row>
    <row r="54" spans="1:2" x14ac:dyDescent="0.3">
      <c r="A54" s="8">
        <v>132955</v>
      </c>
      <c r="B54" s="16" t="s">
        <v>166</v>
      </c>
    </row>
    <row r="55" spans="1:2" x14ac:dyDescent="0.3">
      <c r="A55" s="8">
        <v>132958</v>
      </c>
      <c r="B55" s="16" t="s">
        <v>1</v>
      </c>
    </row>
    <row r="56" spans="1:2" x14ac:dyDescent="0.3">
      <c r="A56" s="8">
        <v>134976</v>
      </c>
      <c r="B56" s="16" t="s">
        <v>3</v>
      </c>
    </row>
    <row r="57" spans="1:2" x14ac:dyDescent="0.3">
      <c r="A57" s="8">
        <v>134976</v>
      </c>
      <c r="B57" s="16" t="s">
        <v>163</v>
      </c>
    </row>
    <row r="58" spans="1:2" x14ac:dyDescent="0.3">
      <c r="A58" s="8">
        <v>134976</v>
      </c>
      <c r="B58" s="16" t="s">
        <v>38</v>
      </c>
    </row>
    <row r="59" spans="1:2" x14ac:dyDescent="0.3">
      <c r="A59" s="8">
        <v>134983</v>
      </c>
      <c r="B59" s="16" t="s">
        <v>66</v>
      </c>
    </row>
    <row r="60" spans="1:2" x14ac:dyDescent="0.3">
      <c r="A60" s="8">
        <v>134983</v>
      </c>
      <c r="B60" s="16" t="s">
        <v>166</v>
      </c>
    </row>
    <row r="61" spans="1:2" x14ac:dyDescent="0.3">
      <c r="A61" s="8">
        <v>134986</v>
      </c>
      <c r="B61" s="16" t="s">
        <v>164</v>
      </c>
    </row>
    <row r="62" spans="1:2" x14ac:dyDescent="0.3">
      <c r="A62" s="8">
        <v>134999</v>
      </c>
      <c r="B62" s="16" t="s">
        <v>8</v>
      </c>
    </row>
    <row r="63" spans="1:2" x14ac:dyDescent="0.3">
      <c r="A63" s="8">
        <v>135018</v>
      </c>
      <c r="B63" s="16" t="s">
        <v>3</v>
      </c>
    </row>
    <row r="64" spans="1:2" x14ac:dyDescent="0.3">
      <c r="A64" s="8">
        <v>135019</v>
      </c>
      <c r="B64" s="16" t="s">
        <v>66</v>
      </c>
    </row>
    <row r="65" spans="1:2" x14ac:dyDescent="0.3">
      <c r="A65" s="8">
        <v>135021</v>
      </c>
      <c r="B65" s="16" t="s">
        <v>21</v>
      </c>
    </row>
    <row r="66" spans="1:2" x14ac:dyDescent="0.3">
      <c r="A66" s="8">
        <v>135025</v>
      </c>
      <c r="B66" s="16" t="s">
        <v>3</v>
      </c>
    </row>
    <row r="67" spans="1:2" x14ac:dyDescent="0.3">
      <c r="A67" s="8">
        <v>135026</v>
      </c>
      <c r="B67" s="16" t="s">
        <v>66</v>
      </c>
    </row>
    <row r="68" spans="1:2" x14ac:dyDescent="0.3">
      <c r="A68" s="8">
        <v>135026</v>
      </c>
      <c r="B68" s="16" t="s">
        <v>166</v>
      </c>
    </row>
    <row r="69" spans="1:2" x14ac:dyDescent="0.3">
      <c r="A69" s="8">
        <v>135027</v>
      </c>
      <c r="B69" s="16" t="s">
        <v>3</v>
      </c>
    </row>
    <row r="70" spans="1:2" x14ac:dyDescent="0.3">
      <c r="A70" s="8">
        <v>135028</v>
      </c>
      <c r="B70" s="16" t="s">
        <v>3</v>
      </c>
    </row>
    <row r="71" spans="1:2" x14ac:dyDescent="0.3">
      <c r="A71" s="8">
        <v>135030</v>
      </c>
      <c r="B71" s="16" t="s">
        <v>10</v>
      </c>
    </row>
    <row r="72" spans="1:2" x14ac:dyDescent="0.3">
      <c r="A72" s="8">
        <v>135030</v>
      </c>
      <c r="B72" s="16" t="s">
        <v>11</v>
      </c>
    </row>
    <row r="73" spans="1:2" x14ac:dyDescent="0.3">
      <c r="A73" s="8">
        <v>135032</v>
      </c>
      <c r="B73" s="16" t="s">
        <v>11</v>
      </c>
    </row>
    <row r="74" spans="1:2" x14ac:dyDescent="0.3">
      <c r="A74" s="8">
        <v>135032</v>
      </c>
      <c r="B74" s="16" t="s">
        <v>9</v>
      </c>
    </row>
    <row r="75" spans="1:2" x14ac:dyDescent="0.3">
      <c r="A75" s="8">
        <v>135034</v>
      </c>
      <c r="B75" s="16" t="s">
        <v>8</v>
      </c>
    </row>
    <row r="76" spans="1:2" x14ac:dyDescent="0.3">
      <c r="A76" s="8">
        <v>135035</v>
      </c>
      <c r="B76" s="16" t="s">
        <v>18</v>
      </c>
    </row>
    <row r="77" spans="1:2" x14ac:dyDescent="0.3">
      <c r="A77" s="8">
        <v>135039</v>
      </c>
      <c r="B77" s="16" t="s">
        <v>133</v>
      </c>
    </row>
    <row r="78" spans="1:2" x14ac:dyDescent="0.3">
      <c r="A78" s="8">
        <v>135041</v>
      </c>
      <c r="B78" s="16" t="s">
        <v>66</v>
      </c>
    </row>
    <row r="79" spans="1:2" x14ac:dyDescent="0.3">
      <c r="A79" s="8">
        <v>135041</v>
      </c>
      <c r="B79" s="16" t="s">
        <v>11</v>
      </c>
    </row>
    <row r="80" spans="1:2" x14ac:dyDescent="0.3">
      <c r="A80" s="8">
        <v>135042</v>
      </c>
      <c r="B80" s="16" t="s">
        <v>32</v>
      </c>
    </row>
    <row r="81" spans="1:2" x14ac:dyDescent="0.3">
      <c r="A81" s="8">
        <v>135043</v>
      </c>
      <c r="B81" s="16" t="s">
        <v>21</v>
      </c>
    </row>
    <row r="82" spans="1:2" x14ac:dyDescent="0.3">
      <c r="A82" s="8">
        <v>135043</v>
      </c>
      <c r="B82" s="16" t="s">
        <v>37</v>
      </c>
    </row>
    <row r="83" spans="1:2" x14ac:dyDescent="0.3">
      <c r="A83" s="8">
        <v>135044</v>
      </c>
      <c r="B83" s="16" t="s">
        <v>32</v>
      </c>
    </row>
    <row r="84" spans="1:2" x14ac:dyDescent="0.3">
      <c r="A84" s="8">
        <v>135046</v>
      </c>
      <c r="B84" s="16" t="s">
        <v>21</v>
      </c>
    </row>
    <row r="85" spans="1:2" x14ac:dyDescent="0.3">
      <c r="A85" s="8">
        <v>135048</v>
      </c>
      <c r="B85" s="16" t="s">
        <v>66</v>
      </c>
    </row>
    <row r="86" spans="1:2" x14ac:dyDescent="0.3">
      <c r="A86" s="8">
        <v>135049</v>
      </c>
      <c r="B86" s="16" t="s">
        <v>133</v>
      </c>
    </row>
    <row r="87" spans="1:2" x14ac:dyDescent="0.3">
      <c r="A87" s="8">
        <v>135052</v>
      </c>
      <c r="B87" s="16" t="s">
        <v>66</v>
      </c>
    </row>
    <row r="88" spans="1:2" x14ac:dyDescent="0.3">
      <c r="A88" s="8">
        <v>135052</v>
      </c>
      <c r="B88" s="16" t="s">
        <v>166</v>
      </c>
    </row>
    <row r="89" spans="1:2" x14ac:dyDescent="0.3">
      <c r="A89" s="8">
        <v>135053</v>
      </c>
      <c r="B89" s="16" t="s">
        <v>11</v>
      </c>
    </row>
    <row r="90" spans="1:2" x14ac:dyDescent="0.3">
      <c r="A90" s="8">
        <v>135053</v>
      </c>
      <c r="B90" s="16" t="s">
        <v>21</v>
      </c>
    </row>
    <row r="91" spans="1:2" x14ac:dyDescent="0.3">
      <c r="A91" s="8">
        <v>135053</v>
      </c>
      <c r="B91" s="16" t="s">
        <v>37</v>
      </c>
    </row>
    <row r="92" spans="1:2" x14ac:dyDescent="0.3">
      <c r="A92" s="8">
        <v>135054</v>
      </c>
      <c r="B92" s="16" t="s">
        <v>133</v>
      </c>
    </row>
    <row r="93" spans="1:2" x14ac:dyDescent="0.3">
      <c r="A93" s="8">
        <v>135055</v>
      </c>
      <c r="B93" s="16" t="s">
        <v>3</v>
      </c>
    </row>
    <row r="94" spans="1:2" x14ac:dyDescent="0.3">
      <c r="A94" s="8">
        <v>135057</v>
      </c>
      <c r="B94" s="16" t="s">
        <v>66</v>
      </c>
    </row>
    <row r="95" spans="1:2" x14ac:dyDescent="0.3">
      <c r="A95" s="8">
        <v>135058</v>
      </c>
      <c r="B95" s="16" t="s">
        <v>37</v>
      </c>
    </row>
    <row r="96" spans="1:2" x14ac:dyDescent="0.3">
      <c r="A96" s="8">
        <v>135059</v>
      </c>
      <c r="B96" s="16" t="s">
        <v>66</v>
      </c>
    </row>
    <row r="97" spans="1:2" x14ac:dyDescent="0.3">
      <c r="A97" s="8">
        <v>135060</v>
      </c>
      <c r="B97" s="16" t="s">
        <v>133</v>
      </c>
    </row>
    <row r="98" spans="1:2" x14ac:dyDescent="0.3">
      <c r="A98" s="8">
        <v>135069</v>
      </c>
      <c r="B98" s="16" t="s">
        <v>66</v>
      </c>
    </row>
    <row r="99" spans="1:2" x14ac:dyDescent="0.3">
      <c r="A99" s="8">
        <v>135071</v>
      </c>
      <c r="B99" s="16" t="s">
        <v>66</v>
      </c>
    </row>
    <row r="100" spans="1:2" x14ac:dyDescent="0.3">
      <c r="A100" s="8">
        <v>135071</v>
      </c>
      <c r="B100" s="16" t="s">
        <v>166</v>
      </c>
    </row>
    <row r="101" spans="1:2" x14ac:dyDescent="0.3">
      <c r="A101" s="8">
        <v>135072</v>
      </c>
      <c r="B101" s="16" t="s">
        <v>8</v>
      </c>
    </row>
    <row r="102" spans="1:2" x14ac:dyDescent="0.3">
      <c r="A102" s="8">
        <v>135073</v>
      </c>
      <c r="B102" s="16" t="s">
        <v>66</v>
      </c>
    </row>
    <row r="103" spans="1:2" x14ac:dyDescent="0.3">
      <c r="A103" s="8">
        <v>135073</v>
      </c>
      <c r="B103" s="16" t="s">
        <v>166</v>
      </c>
    </row>
    <row r="104" spans="1:2" x14ac:dyDescent="0.3">
      <c r="A104" s="8">
        <v>135074</v>
      </c>
      <c r="B104" s="16" t="s">
        <v>9</v>
      </c>
    </row>
    <row r="105" spans="1:2" x14ac:dyDescent="0.3">
      <c r="A105" s="8">
        <v>135075</v>
      </c>
      <c r="B105" s="16" t="s">
        <v>133</v>
      </c>
    </row>
    <row r="106" spans="1:2" x14ac:dyDescent="0.3">
      <c r="A106" s="8">
        <v>135079</v>
      </c>
      <c r="B106" s="16" t="s">
        <v>32</v>
      </c>
    </row>
    <row r="107" spans="1:2" x14ac:dyDescent="0.3">
      <c r="A107" s="8">
        <v>135085</v>
      </c>
      <c r="B107" s="16" t="s">
        <v>21</v>
      </c>
    </row>
    <row r="108" spans="1:2" x14ac:dyDescent="0.3">
      <c r="A108" s="8">
        <v>135086</v>
      </c>
      <c r="B108" s="16" t="s">
        <v>38</v>
      </c>
    </row>
    <row r="109" spans="1:2" x14ac:dyDescent="0.3">
      <c r="A109" s="8">
        <v>135086</v>
      </c>
      <c r="B109" s="16" t="s">
        <v>21</v>
      </c>
    </row>
    <row r="110" spans="1:2" x14ac:dyDescent="0.3">
      <c r="A110" s="8">
        <v>135088</v>
      </c>
      <c r="B110" s="16" t="s">
        <v>11</v>
      </c>
    </row>
    <row r="111" spans="1:2" x14ac:dyDescent="0.3">
      <c r="A111" s="8">
        <v>135104</v>
      </c>
      <c r="B111" s="16" t="s">
        <v>3</v>
      </c>
    </row>
    <row r="112" spans="1:2" x14ac:dyDescent="0.3">
      <c r="A112" s="8">
        <v>135106</v>
      </c>
      <c r="B112" s="16" t="s">
        <v>3</v>
      </c>
    </row>
    <row r="113" spans="1:2" x14ac:dyDescent="0.3">
      <c r="A113" s="8">
        <v>135109</v>
      </c>
      <c r="B113" s="16" t="s">
        <v>18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125E-7CC2-428B-8425-9649ACACA327}">
  <sheetPr>
    <tabColor theme="8" tint="0.59999389629810485"/>
  </sheetPr>
  <dimension ref="A1:M128"/>
  <sheetViews>
    <sheetView tabSelected="1" workbookViewId="0">
      <selection activeCell="N14" sqref="N14"/>
    </sheetView>
  </sheetViews>
  <sheetFormatPr defaultRowHeight="14.4" x14ac:dyDescent="0.3"/>
  <cols>
    <col min="1" max="1" width="14" customWidth="1"/>
    <col min="2" max="2" width="34.5546875" style="3" customWidth="1"/>
    <col min="3" max="3" width="15.6640625" style="18" customWidth="1"/>
    <col min="4" max="4" width="13.77734375" style="18" customWidth="1"/>
    <col min="5" max="5" width="10.44140625" style="3" customWidth="1"/>
    <col min="6" max="6" width="9.77734375" style="5" customWidth="1"/>
    <col min="7" max="7" width="11" style="5" customWidth="1"/>
    <col min="8" max="8" width="15.6640625" style="18" customWidth="1"/>
    <col min="9" max="9" width="16.21875" style="18" customWidth="1"/>
    <col min="10" max="10" width="8.88671875" style="18"/>
    <col min="11" max="11" width="10.44140625" style="18" customWidth="1"/>
    <col min="12" max="12" width="10.21875" style="18" customWidth="1"/>
    <col min="13" max="13" width="10.77734375" style="18" customWidth="1"/>
  </cols>
  <sheetData>
    <row r="1" spans="1:13" x14ac:dyDescent="0.3">
      <c r="A1" s="1" t="s">
        <v>215</v>
      </c>
      <c r="B1" s="2" t="s">
        <v>217</v>
      </c>
      <c r="C1" s="17" t="s">
        <v>173</v>
      </c>
      <c r="D1" s="17" t="s">
        <v>174</v>
      </c>
      <c r="E1" s="2" t="s">
        <v>175</v>
      </c>
      <c r="F1" s="4" t="s">
        <v>176</v>
      </c>
      <c r="G1" s="4" t="s">
        <v>177</v>
      </c>
      <c r="H1" s="17" t="s">
        <v>218</v>
      </c>
      <c r="I1" s="17" t="s">
        <v>219</v>
      </c>
      <c r="J1" s="17" t="s">
        <v>220</v>
      </c>
      <c r="K1" s="17" t="s">
        <v>221</v>
      </c>
      <c r="L1" s="17" t="s">
        <v>222</v>
      </c>
      <c r="M1" s="17" t="s">
        <v>223</v>
      </c>
    </row>
    <row r="2" spans="1:13" x14ac:dyDescent="0.3">
      <c r="A2" s="8">
        <v>132560</v>
      </c>
      <c r="B2" s="9" t="s">
        <v>224</v>
      </c>
      <c r="C2" s="18" t="s">
        <v>206</v>
      </c>
      <c r="D2" s="18" t="s">
        <v>207</v>
      </c>
      <c r="E2" s="9" t="s">
        <v>187</v>
      </c>
      <c r="F2" s="10">
        <v>23.7523041</v>
      </c>
      <c r="G2" s="10">
        <v>-99.166913300000004</v>
      </c>
      <c r="H2" s="18" t="s">
        <v>225</v>
      </c>
      <c r="I2" s="18" t="s">
        <v>201</v>
      </c>
      <c r="J2" s="18" t="s">
        <v>196</v>
      </c>
      <c r="K2" s="18" t="s">
        <v>188</v>
      </c>
      <c r="L2" s="18" t="s">
        <v>226</v>
      </c>
      <c r="M2" s="18" t="s">
        <v>195</v>
      </c>
    </row>
    <row r="3" spans="1:13" x14ac:dyDescent="0.3">
      <c r="A3" s="8">
        <v>132561</v>
      </c>
      <c r="B3" s="9" t="s">
        <v>227</v>
      </c>
      <c r="C3" s="18" t="s">
        <v>206</v>
      </c>
      <c r="D3" s="18" t="s">
        <v>207</v>
      </c>
      <c r="E3" s="9" t="s">
        <v>187</v>
      </c>
      <c r="F3" s="10">
        <v>23.726818999999999</v>
      </c>
      <c r="G3" s="10">
        <v>-99.126505899999998</v>
      </c>
      <c r="H3" s="18" t="s">
        <v>225</v>
      </c>
      <c r="I3" s="18" t="s">
        <v>188</v>
      </c>
      <c r="J3" s="18" t="s">
        <v>196</v>
      </c>
      <c r="K3" s="18" t="s">
        <v>188</v>
      </c>
      <c r="L3" s="18" t="s">
        <v>228</v>
      </c>
      <c r="M3" s="18" t="s">
        <v>225</v>
      </c>
    </row>
    <row r="4" spans="1:13" x14ac:dyDescent="0.3">
      <c r="A4" s="8">
        <v>132564</v>
      </c>
      <c r="B4" s="9" t="s">
        <v>229</v>
      </c>
      <c r="C4" s="18" t="s">
        <v>206</v>
      </c>
      <c r="D4" s="18" t="s">
        <v>207</v>
      </c>
      <c r="E4" s="9" t="s">
        <v>187</v>
      </c>
      <c r="F4" s="10">
        <v>23.7309245</v>
      </c>
      <c r="G4" s="10">
        <v>-99.145184799999996</v>
      </c>
      <c r="H4" s="18" t="s">
        <v>225</v>
      </c>
      <c r="I4" s="18" t="s">
        <v>188</v>
      </c>
      <c r="J4" s="18" t="s">
        <v>196</v>
      </c>
      <c r="K4" s="18" t="s">
        <v>188</v>
      </c>
      <c r="L4" s="18" t="s">
        <v>228</v>
      </c>
      <c r="M4" s="18" t="s">
        <v>225</v>
      </c>
    </row>
    <row r="5" spans="1:13" x14ac:dyDescent="0.3">
      <c r="A5" s="8">
        <v>132572</v>
      </c>
      <c r="B5" s="9" t="s">
        <v>230</v>
      </c>
      <c r="C5" s="18" t="s">
        <v>186</v>
      </c>
      <c r="D5" s="18" t="s">
        <v>186</v>
      </c>
      <c r="E5" s="9" t="s">
        <v>187</v>
      </c>
      <c r="F5" s="10">
        <v>22.1416471</v>
      </c>
      <c r="G5" s="10">
        <v>-100.9927118</v>
      </c>
      <c r="H5" s="18" t="s">
        <v>225</v>
      </c>
      <c r="I5" s="18" t="s">
        <v>188</v>
      </c>
      <c r="J5" s="18" t="s">
        <v>196</v>
      </c>
      <c r="K5" s="18" t="s">
        <v>188</v>
      </c>
      <c r="L5" s="18" t="s">
        <v>228</v>
      </c>
      <c r="M5" s="18" t="s">
        <v>201</v>
      </c>
    </row>
    <row r="6" spans="1:13" x14ac:dyDescent="0.3">
      <c r="A6" s="8">
        <v>132583</v>
      </c>
      <c r="B6" s="9" t="s">
        <v>231</v>
      </c>
      <c r="C6" s="18" t="s">
        <v>198</v>
      </c>
      <c r="D6" s="18" t="s">
        <v>199</v>
      </c>
      <c r="E6" s="9" t="s">
        <v>187</v>
      </c>
      <c r="F6" s="10">
        <v>18.922290400000001</v>
      </c>
      <c r="G6" s="10">
        <v>-99.234331999999995</v>
      </c>
      <c r="H6" s="18" t="s">
        <v>225</v>
      </c>
      <c r="I6" s="18" t="s">
        <v>188</v>
      </c>
      <c r="J6" s="18" t="s">
        <v>196</v>
      </c>
      <c r="K6" s="18" t="s">
        <v>201</v>
      </c>
      <c r="L6" s="18" t="s">
        <v>228</v>
      </c>
      <c r="M6" s="18" t="s">
        <v>225</v>
      </c>
    </row>
    <row r="7" spans="1:13" x14ac:dyDescent="0.3">
      <c r="A7" s="8">
        <v>132584</v>
      </c>
      <c r="B7" s="9" t="s">
        <v>232</v>
      </c>
      <c r="C7" s="18" t="s">
        <v>206</v>
      </c>
      <c r="D7" s="18" t="s">
        <v>207</v>
      </c>
      <c r="E7" s="9" t="s">
        <v>187</v>
      </c>
      <c r="F7" s="10">
        <v>23.752364799999999</v>
      </c>
      <c r="G7" s="10">
        <v>-99.165287899999996</v>
      </c>
      <c r="H7" s="18" t="s">
        <v>225</v>
      </c>
      <c r="I7" s="18" t="s">
        <v>188</v>
      </c>
      <c r="J7" s="18" t="s">
        <v>194</v>
      </c>
      <c r="K7" s="18" t="s">
        <v>201</v>
      </c>
      <c r="L7" s="18" t="s">
        <v>228</v>
      </c>
      <c r="M7" s="18" t="s">
        <v>201</v>
      </c>
    </row>
    <row r="8" spans="1:13" x14ac:dyDescent="0.3">
      <c r="A8" s="8">
        <v>132594</v>
      </c>
      <c r="B8" s="9" t="s">
        <v>233</v>
      </c>
      <c r="C8" s="18" t="s">
        <v>206</v>
      </c>
      <c r="D8" s="18" t="s">
        <v>207</v>
      </c>
      <c r="E8" s="9" t="s">
        <v>187</v>
      </c>
      <c r="F8" s="10">
        <v>23.752167700000001</v>
      </c>
      <c r="G8" s="10">
        <v>-99.165709000000007</v>
      </c>
      <c r="H8" s="18" t="s">
        <v>225</v>
      </c>
      <c r="I8" s="18" t="s">
        <v>188</v>
      </c>
      <c r="J8" s="18" t="s">
        <v>196</v>
      </c>
      <c r="K8" s="18" t="s">
        <v>188</v>
      </c>
      <c r="L8" s="18" t="s">
        <v>226</v>
      </c>
      <c r="M8" s="18" t="s">
        <v>195</v>
      </c>
    </row>
    <row r="9" spans="1:13" x14ac:dyDescent="0.3">
      <c r="A9" s="8">
        <v>132608</v>
      </c>
      <c r="B9" s="9" t="s">
        <v>234</v>
      </c>
      <c r="C9" s="18" t="s">
        <v>206</v>
      </c>
      <c r="D9" s="18" t="s">
        <v>207</v>
      </c>
      <c r="E9" s="9" t="s">
        <v>187</v>
      </c>
      <c r="F9" s="10">
        <v>23.758805200000001</v>
      </c>
      <c r="G9" s="10">
        <v>-99.165129699999994</v>
      </c>
      <c r="H9" s="18" t="s">
        <v>225</v>
      </c>
      <c r="I9" s="18" t="s">
        <v>201</v>
      </c>
      <c r="J9" s="18" t="s">
        <v>196</v>
      </c>
      <c r="K9" s="18" t="s">
        <v>201</v>
      </c>
      <c r="L9" s="18" t="s">
        <v>226</v>
      </c>
      <c r="M9" s="18" t="s">
        <v>195</v>
      </c>
    </row>
    <row r="10" spans="1:13" x14ac:dyDescent="0.3">
      <c r="A10" s="8">
        <v>132609</v>
      </c>
      <c r="B10" s="9" t="s">
        <v>235</v>
      </c>
      <c r="C10" s="18" t="s">
        <v>206</v>
      </c>
      <c r="D10" s="18" t="s">
        <v>207</v>
      </c>
      <c r="E10" s="9" t="s">
        <v>187</v>
      </c>
      <c r="F10" s="10">
        <v>23.7602683</v>
      </c>
      <c r="G10" s="10">
        <v>-99.165864600000006</v>
      </c>
      <c r="H10" s="18" t="s">
        <v>225</v>
      </c>
      <c r="I10" s="18" t="s">
        <v>188</v>
      </c>
      <c r="J10" s="18" t="s">
        <v>196</v>
      </c>
      <c r="K10" s="18" t="s">
        <v>201</v>
      </c>
      <c r="L10" s="18" t="s">
        <v>228</v>
      </c>
      <c r="M10" s="18" t="s">
        <v>201</v>
      </c>
    </row>
    <row r="11" spans="1:13" x14ac:dyDescent="0.3">
      <c r="A11" s="8">
        <v>132613</v>
      </c>
      <c r="B11" s="9" t="s">
        <v>236</v>
      </c>
      <c r="C11" s="18" t="s">
        <v>206</v>
      </c>
      <c r="D11" s="18" t="s">
        <v>207</v>
      </c>
      <c r="E11" s="9" t="s">
        <v>187</v>
      </c>
      <c r="F11" s="10">
        <v>23.752903499999999</v>
      </c>
      <c r="G11" s="10">
        <v>-99.165075999999999</v>
      </c>
      <c r="H11" s="18" t="s">
        <v>225</v>
      </c>
      <c r="I11" s="18" t="s">
        <v>201</v>
      </c>
      <c r="J11" s="18" t="s">
        <v>194</v>
      </c>
      <c r="K11" s="18" t="s">
        <v>201</v>
      </c>
      <c r="L11" s="18" t="s">
        <v>228</v>
      </c>
      <c r="M11" s="18" t="s">
        <v>201</v>
      </c>
    </row>
    <row r="12" spans="1:13" x14ac:dyDescent="0.3">
      <c r="A12" s="8">
        <v>132626</v>
      </c>
      <c r="B12" s="9" t="s">
        <v>237</v>
      </c>
      <c r="C12" s="18" t="s">
        <v>206</v>
      </c>
      <c r="D12" s="18" t="s">
        <v>207</v>
      </c>
      <c r="E12" s="9" t="s">
        <v>187</v>
      </c>
      <c r="F12" s="10">
        <v>23.737583399999998</v>
      </c>
      <c r="G12" s="10">
        <v>-99.135131799999996</v>
      </c>
      <c r="H12" s="18" t="s">
        <v>225</v>
      </c>
      <c r="I12" s="18" t="s">
        <v>188</v>
      </c>
      <c r="J12" s="18" t="s">
        <v>194</v>
      </c>
      <c r="K12" s="18" t="s">
        <v>201</v>
      </c>
      <c r="L12" s="18" t="s">
        <v>228</v>
      </c>
      <c r="M12" s="18" t="s">
        <v>201</v>
      </c>
    </row>
    <row r="13" spans="1:13" x14ac:dyDescent="0.3">
      <c r="A13" s="8">
        <v>132630</v>
      </c>
      <c r="B13" s="9" t="s">
        <v>238</v>
      </c>
      <c r="C13" s="18" t="s">
        <v>206</v>
      </c>
      <c r="D13" s="18" t="s">
        <v>207</v>
      </c>
      <c r="E13" s="9" t="s">
        <v>187</v>
      </c>
      <c r="F13" s="10">
        <v>23.752930500000002</v>
      </c>
      <c r="G13" s="10">
        <v>-99.164472500000002</v>
      </c>
      <c r="H13" s="18" t="s">
        <v>225</v>
      </c>
      <c r="I13" s="18" t="s">
        <v>188</v>
      </c>
      <c r="J13" s="18" t="s">
        <v>196</v>
      </c>
      <c r="K13" s="18" t="s">
        <v>188</v>
      </c>
      <c r="L13" s="18" t="s">
        <v>228</v>
      </c>
      <c r="M13" s="18" t="s">
        <v>225</v>
      </c>
    </row>
    <row r="14" spans="1:13" x14ac:dyDescent="0.3">
      <c r="A14" s="8">
        <v>132654</v>
      </c>
      <c r="B14" s="9" t="s">
        <v>239</v>
      </c>
      <c r="C14" s="18" t="s">
        <v>206</v>
      </c>
      <c r="D14" s="18" t="s">
        <v>207</v>
      </c>
      <c r="E14" s="9" t="s">
        <v>187</v>
      </c>
      <c r="F14" s="10">
        <v>23.735523400000002</v>
      </c>
      <c r="G14" s="10">
        <v>-99.129587700000002</v>
      </c>
      <c r="H14" s="18" t="s">
        <v>225</v>
      </c>
      <c r="I14" s="18" t="s">
        <v>188</v>
      </c>
      <c r="J14" s="18" t="s">
        <v>196</v>
      </c>
      <c r="K14" s="18" t="s">
        <v>188</v>
      </c>
      <c r="L14" s="18" t="s">
        <v>228</v>
      </c>
      <c r="M14" s="18" t="s">
        <v>225</v>
      </c>
    </row>
    <row r="15" spans="1:13" x14ac:dyDescent="0.3">
      <c r="A15" s="8">
        <v>132660</v>
      </c>
      <c r="B15" s="9" t="s">
        <v>240</v>
      </c>
      <c r="C15" s="18" t="s">
        <v>206</v>
      </c>
      <c r="D15" s="18" t="s">
        <v>207</v>
      </c>
      <c r="E15" s="9" t="s">
        <v>187</v>
      </c>
      <c r="F15" s="10">
        <v>23.7529428</v>
      </c>
      <c r="G15" s="10">
        <v>-99.164679100000001</v>
      </c>
      <c r="H15" s="18" t="s">
        <v>225</v>
      </c>
      <c r="I15" s="18" t="s">
        <v>188</v>
      </c>
      <c r="J15" s="18" t="s">
        <v>196</v>
      </c>
      <c r="K15" s="18" t="s">
        <v>188</v>
      </c>
      <c r="L15" s="18" t="s">
        <v>228</v>
      </c>
      <c r="M15" s="18" t="s">
        <v>225</v>
      </c>
    </row>
    <row r="16" spans="1:13" x14ac:dyDescent="0.3">
      <c r="A16" s="8">
        <v>132663</v>
      </c>
      <c r="B16" s="9" t="s">
        <v>241</v>
      </c>
      <c r="C16" s="18" t="s">
        <v>206</v>
      </c>
      <c r="D16" s="18" t="s">
        <v>207</v>
      </c>
      <c r="E16" s="9" t="s">
        <v>187</v>
      </c>
      <c r="F16" s="10">
        <v>23.752510699999998</v>
      </c>
      <c r="G16" s="10">
        <v>-99.166953599999999</v>
      </c>
      <c r="H16" s="18" t="s">
        <v>225</v>
      </c>
      <c r="I16" s="18" t="s">
        <v>188</v>
      </c>
      <c r="J16" s="18" t="s">
        <v>196</v>
      </c>
      <c r="K16" s="18" t="s">
        <v>188</v>
      </c>
      <c r="L16" s="18" t="s">
        <v>228</v>
      </c>
      <c r="M16" s="18" t="s">
        <v>225</v>
      </c>
    </row>
    <row r="17" spans="1:13" x14ac:dyDescent="0.3">
      <c r="A17" s="8">
        <v>132665</v>
      </c>
      <c r="B17" s="9" t="s">
        <v>242</v>
      </c>
      <c r="C17" s="18" t="s">
        <v>206</v>
      </c>
      <c r="D17" s="18" t="s">
        <v>207</v>
      </c>
      <c r="E17" s="9" t="s">
        <v>187</v>
      </c>
      <c r="F17" s="10">
        <v>23.7367977</v>
      </c>
      <c r="G17" s="10">
        <v>-99.134241299999999</v>
      </c>
      <c r="H17" s="18" t="s">
        <v>225</v>
      </c>
      <c r="I17" s="18" t="s">
        <v>188</v>
      </c>
      <c r="J17" s="18" t="s">
        <v>196</v>
      </c>
      <c r="K17" s="18" t="s">
        <v>188</v>
      </c>
      <c r="L17" s="18" t="s">
        <v>228</v>
      </c>
      <c r="M17" s="18" t="s">
        <v>225</v>
      </c>
    </row>
    <row r="18" spans="1:13" x14ac:dyDescent="0.3">
      <c r="A18" s="8">
        <v>132667</v>
      </c>
      <c r="B18" s="9" t="s">
        <v>243</v>
      </c>
      <c r="C18" s="18" t="s">
        <v>206</v>
      </c>
      <c r="D18" s="18" t="s">
        <v>207</v>
      </c>
      <c r="E18" s="9" t="s">
        <v>187</v>
      </c>
      <c r="F18" s="10">
        <v>23.752697300000001</v>
      </c>
      <c r="G18" s="10">
        <v>-99.163359400000004</v>
      </c>
      <c r="H18" s="18" t="s">
        <v>225</v>
      </c>
      <c r="I18" s="18" t="s">
        <v>188</v>
      </c>
      <c r="J18" s="18" t="s">
        <v>196</v>
      </c>
      <c r="K18" s="18" t="s">
        <v>201</v>
      </c>
      <c r="L18" s="18" t="s">
        <v>228</v>
      </c>
      <c r="M18" s="18" t="s">
        <v>225</v>
      </c>
    </row>
    <row r="19" spans="1:13" x14ac:dyDescent="0.3">
      <c r="A19" s="8">
        <v>132668</v>
      </c>
      <c r="B19" s="9" t="s">
        <v>244</v>
      </c>
      <c r="C19" s="18" t="s">
        <v>206</v>
      </c>
      <c r="D19" s="18" t="s">
        <v>207</v>
      </c>
      <c r="E19" s="9" t="s">
        <v>187</v>
      </c>
      <c r="F19" s="10">
        <v>23.738212000000001</v>
      </c>
      <c r="G19" s="10">
        <v>-99.151954700000005</v>
      </c>
      <c r="H19" s="18" t="s">
        <v>225</v>
      </c>
      <c r="I19" s="18" t="s">
        <v>188</v>
      </c>
      <c r="J19" s="18" t="s">
        <v>196</v>
      </c>
      <c r="K19" s="18" t="s">
        <v>188</v>
      </c>
      <c r="L19" s="18" t="s">
        <v>228</v>
      </c>
      <c r="M19" s="18" t="s">
        <v>225</v>
      </c>
    </row>
    <row r="20" spans="1:13" x14ac:dyDescent="0.3">
      <c r="A20" s="8">
        <v>132706</v>
      </c>
      <c r="B20" s="9" t="s">
        <v>245</v>
      </c>
      <c r="C20" s="18" t="s">
        <v>206</v>
      </c>
      <c r="D20" s="18" t="s">
        <v>207</v>
      </c>
      <c r="E20" s="9" t="s">
        <v>187</v>
      </c>
      <c r="F20" s="10">
        <v>23.7292162</v>
      </c>
      <c r="G20" s="10">
        <v>-99.132357099999993</v>
      </c>
      <c r="H20" s="18" t="s">
        <v>225</v>
      </c>
      <c r="I20" s="18" t="s">
        <v>188</v>
      </c>
      <c r="J20" s="18" t="s">
        <v>194</v>
      </c>
      <c r="K20" s="18" t="s">
        <v>201</v>
      </c>
      <c r="L20" s="18" t="s">
        <v>228</v>
      </c>
      <c r="M20" s="18" t="s">
        <v>195</v>
      </c>
    </row>
    <row r="21" spans="1:13" x14ac:dyDescent="0.3">
      <c r="A21" s="8">
        <v>132715</v>
      </c>
      <c r="B21" s="9" t="s">
        <v>246</v>
      </c>
      <c r="C21" s="18" t="s">
        <v>206</v>
      </c>
      <c r="D21" s="18" t="s">
        <v>207</v>
      </c>
      <c r="E21" s="9" t="s">
        <v>187</v>
      </c>
      <c r="F21" s="10">
        <v>23.7324226</v>
      </c>
      <c r="G21" s="10">
        <v>-99.1586602</v>
      </c>
      <c r="H21" s="18" t="s">
        <v>225</v>
      </c>
      <c r="I21" s="18" t="s">
        <v>188</v>
      </c>
      <c r="J21" s="18" t="s">
        <v>196</v>
      </c>
      <c r="K21" s="18" t="s">
        <v>188</v>
      </c>
      <c r="L21" s="18" t="s">
        <v>226</v>
      </c>
      <c r="M21" s="18" t="s">
        <v>225</v>
      </c>
    </row>
    <row r="22" spans="1:13" x14ac:dyDescent="0.3">
      <c r="A22" s="8">
        <v>132717</v>
      </c>
      <c r="B22" s="9" t="s">
        <v>247</v>
      </c>
      <c r="C22" s="18" t="s">
        <v>206</v>
      </c>
      <c r="D22" s="18" t="s">
        <v>207</v>
      </c>
      <c r="E22" s="9" t="s">
        <v>187</v>
      </c>
      <c r="F22" s="10">
        <v>23.7318602</v>
      </c>
      <c r="G22" s="10">
        <v>-99.150436499999998</v>
      </c>
      <c r="H22" s="18" t="s">
        <v>225</v>
      </c>
      <c r="I22" s="18" t="s">
        <v>188</v>
      </c>
      <c r="J22" s="18" t="s">
        <v>194</v>
      </c>
      <c r="K22" s="18" t="s">
        <v>188</v>
      </c>
      <c r="L22" s="18" t="s">
        <v>228</v>
      </c>
      <c r="M22" s="18" t="s">
        <v>195</v>
      </c>
    </row>
    <row r="23" spans="1:13" x14ac:dyDescent="0.3">
      <c r="A23" s="8">
        <v>132723</v>
      </c>
      <c r="B23" s="9" t="s">
        <v>248</v>
      </c>
      <c r="C23" s="18" t="s">
        <v>186</v>
      </c>
      <c r="D23" s="18" t="s">
        <v>186</v>
      </c>
      <c r="E23" s="9" t="s">
        <v>187</v>
      </c>
      <c r="F23" s="10">
        <v>22.148933700000001</v>
      </c>
      <c r="G23" s="10">
        <v>-101.019845</v>
      </c>
      <c r="H23" s="18" t="s">
        <v>249</v>
      </c>
      <c r="I23" s="18" t="s">
        <v>250</v>
      </c>
      <c r="J23" s="18" t="s">
        <v>194</v>
      </c>
      <c r="K23" s="18" t="s">
        <v>188</v>
      </c>
      <c r="L23" s="18" t="s">
        <v>228</v>
      </c>
      <c r="M23" s="18" t="s">
        <v>195</v>
      </c>
    </row>
    <row r="24" spans="1:13" x14ac:dyDescent="0.3">
      <c r="A24" s="8">
        <v>132732</v>
      </c>
      <c r="B24" s="9" t="s">
        <v>251</v>
      </c>
      <c r="C24" s="18" t="s">
        <v>206</v>
      </c>
      <c r="D24" s="18" t="s">
        <v>207</v>
      </c>
      <c r="E24" s="9" t="s">
        <v>187</v>
      </c>
      <c r="F24" s="10">
        <v>23.754356900000001</v>
      </c>
      <c r="G24" s="10">
        <v>-99.171288000000004</v>
      </c>
      <c r="H24" s="18" t="s">
        <v>225</v>
      </c>
      <c r="I24" s="18" t="s">
        <v>188</v>
      </c>
      <c r="J24" s="18" t="s">
        <v>196</v>
      </c>
      <c r="K24" s="18" t="s">
        <v>188</v>
      </c>
      <c r="L24" s="18" t="s">
        <v>226</v>
      </c>
      <c r="M24" s="18" t="s">
        <v>225</v>
      </c>
    </row>
    <row r="25" spans="1:13" x14ac:dyDescent="0.3">
      <c r="A25" s="8">
        <v>132733</v>
      </c>
      <c r="B25" s="9" t="s">
        <v>252</v>
      </c>
      <c r="C25" s="18" t="s">
        <v>206</v>
      </c>
      <c r="D25" s="18" t="s">
        <v>207</v>
      </c>
      <c r="E25" s="9" t="s">
        <v>187</v>
      </c>
      <c r="F25" s="10">
        <v>23.752707099999999</v>
      </c>
      <c r="G25" s="10">
        <v>-99.162565499999999</v>
      </c>
      <c r="H25" s="18" t="s">
        <v>225</v>
      </c>
      <c r="I25" s="18" t="s">
        <v>188</v>
      </c>
      <c r="J25" s="18" t="s">
        <v>194</v>
      </c>
      <c r="K25" s="18" t="s">
        <v>201</v>
      </c>
      <c r="L25" s="18" t="s">
        <v>228</v>
      </c>
      <c r="M25" s="18" t="s">
        <v>201</v>
      </c>
    </row>
    <row r="26" spans="1:13" x14ac:dyDescent="0.3">
      <c r="A26" s="8">
        <v>132740</v>
      </c>
      <c r="B26" s="9" t="s">
        <v>253</v>
      </c>
      <c r="C26" s="18" t="s">
        <v>206</v>
      </c>
      <c r="D26" s="18" t="s">
        <v>207</v>
      </c>
      <c r="E26" s="9" t="s">
        <v>187</v>
      </c>
      <c r="F26" s="10">
        <v>23.7521965</v>
      </c>
      <c r="G26" s="10">
        <v>-99.166631699999996</v>
      </c>
      <c r="H26" s="18" t="s">
        <v>225</v>
      </c>
      <c r="I26" s="18" t="s">
        <v>201</v>
      </c>
      <c r="J26" s="18" t="s">
        <v>196</v>
      </c>
      <c r="K26" s="18" t="s">
        <v>188</v>
      </c>
      <c r="L26" s="18" t="s">
        <v>226</v>
      </c>
      <c r="M26" s="18" t="s">
        <v>225</v>
      </c>
    </row>
    <row r="27" spans="1:13" x14ac:dyDescent="0.3">
      <c r="A27" s="8">
        <v>132754</v>
      </c>
      <c r="B27" s="9" t="s">
        <v>254</v>
      </c>
      <c r="C27" s="18" t="s">
        <v>186</v>
      </c>
      <c r="D27" s="18" t="s">
        <v>186</v>
      </c>
      <c r="E27" s="9" t="s">
        <v>187</v>
      </c>
      <c r="F27" s="10">
        <v>22.147737899999999</v>
      </c>
      <c r="G27" s="10">
        <v>-100.9906163</v>
      </c>
      <c r="H27" s="18" t="s">
        <v>225</v>
      </c>
      <c r="I27" s="18" t="s">
        <v>188</v>
      </c>
      <c r="J27" s="18" t="s">
        <v>194</v>
      </c>
      <c r="K27" s="18" t="s">
        <v>188</v>
      </c>
      <c r="L27" s="18" t="s">
        <v>228</v>
      </c>
      <c r="M27" s="18" t="s">
        <v>225</v>
      </c>
    </row>
    <row r="28" spans="1:13" x14ac:dyDescent="0.3">
      <c r="A28" s="8">
        <v>132755</v>
      </c>
      <c r="B28" s="9" t="s">
        <v>255</v>
      </c>
      <c r="C28" s="18" t="s">
        <v>186</v>
      </c>
      <c r="D28" s="18" t="s">
        <v>186</v>
      </c>
      <c r="E28" s="9" t="s">
        <v>187</v>
      </c>
      <c r="F28" s="10">
        <v>22.153324000000001</v>
      </c>
      <c r="G28" s="10">
        <v>-101.0195459</v>
      </c>
      <c r="H28" s="18" t="s">
        <v>225</v>
      </c>
      <c r="I28" s="18" t="s">
        <v>188</v>
      </c>
      <c r="J28" s="18" t="s">
        <v>194</v>
      </c>
      <c r="K28" s="18" t="s">
        <v>188</v>
      </c>
      <c r="L28" s="18" t="s">
        <v>228</v>
      </c>
      <c r="M28" s="18" t="s">
        <v>195</v>
      </c>
    </row>
    <row r="29" spans="1:13" x14ac:dyDescent="0.3">
      <c r="A29" s="8">
        <v>132766</v>
      </c>
      <c r="B29" s="9" t="s">
        <v>256</v>
      </c>
      <c r="C29" s="18" t="s">
        <v>198</v>
      </c>
      <c r="D29" s="18" t="s">
        <v>199</v>
      </c>
      <c r="E29" s="9" t="s">
        <v>187</v>
      </c>
      <c r="F29" s="10">
        <v>18.910177699999998</v>
      </c>
      <c r="G29" s="10">
        <v>-99.231543799999997</v>
      </c>
      <c r="H29" s="18" t="s">
        <v>257</v>
      </c>
      <c r="I29" s="18" t="s">
        <v>188</v>
      </c>
      <c r="J29" s="18" t="s">
        <v>194</v>
      </c>
      <c r="K29" s="18" t="s">
        <v>188</v>
      </c>
      <c r="L29" s="18" t="s">
        <v>228</v>
      </c>
      <c r="M29" s="18" t="s">
        <v>201</v>
      </c>
    </row>
    <row r="30" spans="1:13" x14ac:dyDescent="0.3">
      <c r="A30" s="8">
        <v>132767</v>
      </c>
      <c r="B30" s="9" t="s">
        <v>258</v>
      </c>
      <c r="C30" s="18" t="s">
        <v>211</v>
      </c>
      <c r="D30" s="18" t="s">
        <v>199</v>
      </c>
      <c r="E30" s="9" t="s">
        <v>187</v>
      </c>
      <c r="F30" s="10">
        <v>18.8820871</v>
      </c>
      <c r="G30" s="10">
        <v>-99.163026799999997</v>
      </c>
      <c r="H30" s="18" t="s">
        <v>257</v>
      </c>
      <c r="I30" s="18" t="s">
        <v>201</v>
      </c>
      <c r="J30" s="18" t="s">
        <v>194</v>
      </c>
      <c r="K30" s="18" t="s">
        <v>188</v>
      </c>
      <c r="L30" s="18" t="s">
        <v>226</v>
      </c>
      <c r="M30" s="18" t="s">
        <v>201</v>
      </c>
    </row>
    <row r="31" spans="1:13" x14ac:dyDescent="0.3">
      <c r="A31" s="8">
        <v>132768</v>
      </c>
      <c r="B31" s="9" t="s">
        <v>259</v>
      </c>
      <c r="C31" s="18" t="s">
        <v>198</v>
      </c>
      <c r="D31" s="18" t="s">
        <v>199</v>
      </c>
      <c r="E31" s="9" t="s">
        <v>187</v>
      </c>
      <c r="F31" s="10">
        <v>18.925773400000001</v>
      </c>
      <c r="G31" s="10">
        <v>-99.232635500000001</v>
      </c>
      <c r="H31" s="18" t="s">
        <v>225</v>
      </c>
      <c r="I31" s="18" t="s">
        <v>188</v>
      </c>
      <c r="J31" s="18" t="s">
        <v>194</v>
      </c>
      <c r="K31" s="18" t="s">
        <v>201</v>
      </c>
      <c r="L31" s="18" t="s">
        <v>228</v>
      </c>
      <c r="M31" s="18" t="s">
        <v>225</v>
      </c>
    </row>
    <row r="32" spans="1:13" x14ac:dyDescent="0.3">
      <c r="A32" s="8">
        <v>132773</v>
      </c>
      <c r="B32" s="9" t="s">
        <v>260</v>
      </c>
      <c r="C32" s="18" t="s">
        <v>198</v>
      </c>
      <c r="D32" s="18" t="s">
        <v>199</v>
      </c>
      <c r="E32" s="9" t="s">
        <v>187</v>
      </c>
      <c r="F32" s="10">
        <v>18.8699929</v>
      </c>
      <c r="G32" s="10">
        <v>-99.210319499999997</v>
      </c>
      <c r="H32" s="18" t="s">
        <v>257</v>
      </c>
      <c r="I32" s="18" t="s">
        <v>201</v>
      </c>
      <c r="J32" s="18" t="s">
        <v>196</v>
      </c>
      <c r="K32" s="18" t="s">
        <v>188</v>
      </c>
      <c r="L32" s="18" t="s">
        <v>226</v>
      </c>
      <c r="M32" s="18" t="s">
        <v>225</v>
      </c>
    </row>
    <row r="33" spans="1:13" x14ac:dyDescent="0.3">
      <c r="A33" s="8">
        <v>132825</v>
      </c>
      <c r="B33" s="9" t="s">
        <v>261</v>
      </c>
      <c r="C33" s="18" t="s">
        <v>186</v>
      </c>
      <c r="D33" s="18" t="s">
        <v>186</v>
      </c>
      <c r="E33" s="9" t="s">
        <v>187</v>
      </c>
      <c r="F33" s="10">
        <v>22.147392199999999</v>
      </c>
      <c r="G33" s="10">
        <v>-100.983092</v>
      </c>
      <c r="H33" s="18" t="s">
        <v>225</v>
      </c>
      <c r="I33" s="18" t="s">
        <v>188</v>
      </c>
      <c r="J33" s="18" t="s">
        <v>196</v>
      </c>
      <c r="K33" s="18" t="s">
        <v>188</v>
      </c>
      <c r="L33" s="18" t="s">
        <v>226</v>
      </c>
      <c r="M33" s="18" t="s">
        <v>225</v>
      </c>
    </row>
    <row r="34" spans="1:13" x14ac:dyDescent="0.3">
      <c r="A34" s="8">
        <v>132830</v>
      </c>
      <c r="B34" s="9" t="s">
        <v>262</v>
      </c>
      <c r="C34" s="18" t="s">
        <v>186</v>
      </c>
      <c r="D34" s="18" t="s">
        <v>186</v>
      </c>
      <c r="E34" s="9" t="s">
        <v>187</v>
      </c>
      <c r="F34" s="10">
        <v>22.150849399999998</v>
      </c>
      <c r="G34" s="10">
        <v>-100.9397522</v>
      </c>
      <c r="H34" s="18" t="s">
        <v>225</v>
      </c>
      <c r="I34" s="18" t="s">
        <v>188</v>
      </c>
      <c r="J34" s="18" t="s">
        <v>196</v>
      </c>
      <c r="K34" s="18" t="s">
        <v>188</v>
      </c>
      <c r="L34" s="18" t="s">
        <v>228</v>
      </c>
      <c r="M34" s="18" t="s">
        <v>225</v>
      </c>
    </row>
    <row r="35" spans="1:13" x14ac:dyDescent="0.3">
      <c r="A35" s="8">
        <v>132834</v>
      </c>
      <c r="B35" s="9" t="s">
        <v>263</v>
      </c>
      <c r="C35" s="18" t="s">
        <v>186</v>
      </c>
      <c r="D35" s="18" t="s">
        <v>186</v>
      </c>
      <c r="E35" s="9" t="s">
        <v>187</v>
      </c>
      <c r="F35" s="10">
        <v>22.156469000000001</v>
      </c>
      <c r="G35" s="10">
        <v>-100.98554</v>
      </c>
      <c r="H35" s="18" t="s">
        <v>225</v>
      </c>
      <c r="I35" s="18" t="s">
        <v>188</v>
      </c>
      <c r="J35" s="18" t="s">
        <v>196</v>
      </c>
      <c r="K35" s="18" t="s">
        <v>188</v>
      </c>
      <c r="L35" s="18" t="s">
        <v>228</v>
      </c>
      <c r="M35" s="18" t="s">
        <v>195</v>
      </c>
    </row>
    <row r="36" spans="1:13" x14ac:dyDescent="0.3">
      <c r="A36" s="8">
        <v>132845</v>
      </c>
      <c r="B36" s="9" t="s">
        <v>264</v>
      </c>
      <c r="C36" s="18" t="s">
        <v>186</v>
      </c>
      <c r="D36" s="18" t="s">
        <v>186</v>
      </c>
      <c r="E36" s="9" t="s">
        <v>187</v>
      </c>
      <c r="F36" s="10">
        <v>22.126292599999999</v>
      </c>
      <c r="G36" s="10">
        <v>-100.9007764</v>
      </c>
      <c r="H36" s="18" t="s">
        <v>225</v>
      </c>
      <c r="I36" s="18" t="s">
        <v>188</v>
      </c>
      <c r="J36" s="18" t="s">
        <v>194</v>
      </c>
      <c r="K36" s="18" t="s">
        <v>188</v>
      </c>
      <c r="L36" s="18" t="s">
        <v>228</v>
      </c>
      <c r="M36" s="18" t="s">
        <v>225</v>
      </c>
    </row>
    <row r="37" spans="1:13" x14ac:dyDescent="0.3">
      <c r="A37" s="8">
        <v>132846</v>
      </c>
      <c r="B37" s="9" t="s">
        <v>265</v>
      </c>
      <c r="C37" s="18" t="s">
        <v>186</v>
      </c>
      <c r="D37" s="18" t="s">
        <v>186</v>
      </c>
      <c r="E37" s="9" t="s">
        <v>187</v>
      </c>
      <c r="F37" s="10">
        <v>22.142273200000002</v>
      </c>
      <c r="G37" s="10">
        <v>-100.94265369999999</v>
      </c>
      <c r="H37" s="18" t="s">
        <v>225</v>
      </c>
      <c r="I37" s="18" t="s">
        <v>201</v>
      </c>
      <c r="J37" s="18" t="s">
        <v>196</v>
      </c>
      <c r="K37" s="18" t="s">
        <v>188</v>
      </c>
      <c r="L37" s="18" t="s">
        <v>226</v>
      </c>
      <c r="M37" s="18" t="s">
        <v>225</v>
      </c>
    </row>
    <row r="38" spans="1:13" x14ac:dyDescent="0.3">
      <c r="A38" s="8">
        <v>132847</v>
      </c>
      <c r="B38" s="9" t="s">
        <v>266</v>
      </c>
      <c r="C38" s="18" t="s">
        <v>186</v>
      </c>
      <c r="D38" s="18" t="s">
        <v>186</v>
      </c>
      <c r="E38" s="9" t="s">
        <v>187</v>
      </c>
      <c r="F38" s="10">
        <v>22.144336500000001</v>
      </c>
      <c r="G38" s="10">
        <v>-100.9373825</v>
      </c>
      <c r="H38" s="18" t="s">
        <v>225</v>
      </c>
      <c r="I38" s="18" t="s">
        <v>188</v>
      </c>
      <c r="J38" s="18" t="s">
        <v>196</v>
      </c>
      <c r="K38" s="18" t="s">
        <v>188</v>
      </c>
      <c r="L38" s="18" t="s">
        <v>226</v>
      </c>
      <c r="M38" s="18" t="s">
        <v>225</v>
      </c>
    </row>
    <row r="39" spans="1:13" x14ac:dyDescent="0.3">
      <c r="A39" s="8">
        <v>132851</v>
      </c>
      <c r="B39" s="9" t="s">
        <v>267</v>
      </c>
      <c r="C39" s="18" t="s">
        <v>186</v>
      </c>
      <c r="D39" s="18" t="s">
        <v>186</v>
      </c>
      <c r="E39" s="9" t="s">
        <v>187</v>
      </c>
      <c r="F39" s="10">
        <v>22.136872</v>
      </c>
      <c r="G39" s="10">
        <v>-100.93457359999999</v>
      </c>
      <c r="H39" s="18" t="s">
        <v>225</v>
      </c>
      <c r="I39" s="18" t="s">
        <v>188</v>
      </c>
      <c r="J39" s="18" t="s">
        <v>196</v>
      </c>
      <c r="K39" s="18" t="s">
        <v>188</v>
      </c>
      <c r="L39" s="18" t="s">
        <v>228</v>
      </c>
      <c r="M39" s="18" t="s">
        <v>201</v>
      </c>
    </row>
    <row r="40" spans="1:13" x14ac:dyDescent="0.3">
      <c r="A40" s="8">
        <v>132854</v>
      </c>
      <c r="B40" s="9" t="s">
        <v>268</v>
      </c>
      <c r="C40" s="18" t="s">
        <v>186</v>
      </c>
      <c r="D40" s="18" t="s">
        <v>186</v>
      </c>
      <c r="E40" s="9" t="s">
        <v>187</v>
      </c>
      <c r="F40" s="10">
        <v>22.137863299999999</v>
      </c>
      <c r="G40" s="10">
        <v>-100.9383273</v>
      </c>
      <c r="H40" s="18" t="s">
        <v>257</v>
      </c>
      <c r="I40" s="18" t="s">
        <v>188</v>
      </c>
      <c r="J40" s="18" t="s">
        <v>194</v>
      </c>
      <c r="K40" s="18" t="s">
        <v>188</v>
      </c>
      <c r="L40" s="18" t="s">
        <v>228</v>
      </c>
      <c r="M40" s="18" t="s">
        <v>201</v>
      </c>
    </row>
    <row r="41" spans="1:13" x14ac:dyDescent="0.3">
      <c r="A41" s="8">
        <v>132856</v>
      </c>
      <c r="B41" s="9" t="s">
        <v>269</v>
      </c>
      <c r="C41" s="18" t="s">
        <v>186</v>
      </c>
      <c r="D41" s="18" t="s">
        <v>186</v>
      </c>
      <c r="E41" s="9" t="s">
        <v>187</v>
      </c>
      <c r="F41" s="10">
        <v>22.1513782</v>
      </c>
      <c r="G41" s="10">
        <v>-100.9746337</v>
      </c>
      <c r="H41" s="18" t="s">
        <v>257</v>
      </c>
      <c r="I41" s="18" t="s">
        <v>188</v>
      </c>
      <c r="J41" s="18" t="s">
        <v>196</v>
      </c>
      <c r="K41" s="18" t="s">
        <v>188</v>
      </c>
      <c r="L41" s="18" t="s">
        <v>228</v>
      </c>
      <c r="M41" s="18" t="s">
        <v>225</v>
      </c>
    </row>
    <row r="42" spans="1:13" x14ac:dyDescent="0.3">
      <c r="A42" s="8">
        <v>132858</v>
      </c>
      <c r="B42" s="9" t="s">
        <v>270</v>
      </c>
      <c r="C42" s="18" t="s">
        <v>186</v>
      </c>
      <c r="D42" s="18" t="s">
        <v>186</v>
      </c>
      <c r="E42" s="9" t="s">
        <v>187</v>
      </c>
      <c r="F42" s="10">
        <v>22.131291699999998</v>
      </c>
      <c r="G42" s="10">
        <v>-100.9371941</v>
      </c>
      <c r="H42" s="18" t="s">
        <v>225</v>
      </c>
      <c r="I42" s="18" t="s">
        <v>188</v>
      </c>
      <c r="J42" s="18" t="s">
        <v>196</v>
      </c>
      <c r="K42" s="18" t="s">
        <v>188</v>
      </c>
      <c r="L42" s="18" t="s">
        <v>228</v>
      </c>
      <c r="M42" s="18" t="s">
        <v>225</v>
      </c>
    </row>
    <row r="43" spans="1:13" x14ac:dyDescent="0.3">
      <c r="A43" s="8">
        <v>132861</v>
      </c>
      <c r="B43" s="9" t="s">
        <v>271</v>
      </c>
      <c r="C43" s="18" t="s">
        <v>186</v>
      </c>
      <c r="D43" s="18" t="s">
        <v>186</v>
      </c>
      <c r="E43" s="9" t="s">
        <v>187</v>
      </c>
      <c r="F43" s="10">
        <v>22.148096500000001</v>
      </c>
      <c r="G43" s="10">
        <v>-101.0173023</v>
      </c>
      <c r="H43" s="18" t="s">
        <v>225</v>
      </c>
      <c r="I43" s="18" t="s">
        <v>188</v>
      </c>
      <c r="J43" s="18" t="s">
        <v>194</v>
      </c>
      <c r="K43" s="18" t="s">
        <v>201</v>
      </c>
      <c r="L43" s="18" t="s">
        <v>228</v>
      </c>
      <c r="M43" s="18" t="s">
        <v>201</v>
      </c>
    </row>
    <row r="44" spans="1:13" x14ac:dyDescent="0.3">
      <c r="A44" s="8">
        <v>132862</v>
      </c>
      <c r="B44" s="9" t="s">
        <v>272</v>
      </c>
      <c r="C44" s="18" t="s">
        <v>186</v>
      </c>
      <c r="D44" s="18" t="s">
        <v>186</v>
      </c>
      <c r="E44" s="9" t="s">
        <v>187</v>
      </c>
      <c r="F44" s="10">
        <v>22.150642900000001</v>
      </c>
      <c r="G44" s="10">
        <v>-100.9870148</v>
      </c>
      <c r="H44" s="18" t="s">
        <v>257</v>
      </c>
      <c r="I44" s="18" t="s">
        <v>188</v>
      </c>
      <c r="J44" s="18" t="s">
        <v>210</v>
      </c>
      <c r="K44" s="18" t="s">
        <v>188</v>
      </c>
      <c r="L44" s="18" t="s">
        <v>228</v>
      </c>
      <c r="M44" s="18" t="s">
        <v>273</v>
      </c>
    </row>
    <row r="45" spans="1:13" x14ac:dyDescent="0.3">
      <c r="A45" s="8">
        <v>132866</v>
      </c>
      <c r="B45" s="9" t="s">
        <v>274</v>
      </c>
      <c r="C45" s="18" t="s">
        <v>186</v>
      </c>
      <c r="D45" s="18" t="s">
        <v>186</v>
      </c>
      <c r="E45" s="9" t="s">
        <v>187</v>
      </c>
      <c r="F45" s="10">
        <v>22.141219799999998</v>
      </c>
      <c r="G45" s="10">
        <v>-100.9313107</v>
      </c>
      <c r="H45" s="18" t="s">
        <v>225</v>
      </c>
      <c r="I45" s="18" t="s">
        <v>188</v>
      </c>
      <c r="J45" s="18" t="s">
        <v>194</v>
      </c>
      <c r="K45" s="18" t="s">
        <v>188</v>
      </c>
      <c r="L45" s="18" t="s">
        <v>228</v>
      </c>
      <c r="M45" s="18" t="s">
        <v>201</v>
      </c>
    </row>
    <row r="46" spans="1:13" x14ac:dyDescent="0.3">
      <c r="A46" s="8">
        <v>132869</v>
      </c>
      <c r="B46" s="9" t="s">
        <v>275</v>
      </c>
      <c r="C46" s="18" t="s">
        <v>186</v>
      </c>
      <c r="D46" s="18" t="s">
        <v>186</v>
      </c>
      <c r="E46" s="9" t="s">
        <v>187</v>
      </c>
      <c r="F46" s="10">
        <v>22.141238399999999</v>
      </c>
      <c r="G46" s="10">
        <v>-100.9239252</v>
      </c>
      <c r="H46" s="18" t="s">
        <v>225</v>
      </c>
      <c r="I46" s="18" t="s">
        <v>188</v>
      </c>
      <c r="J46" s="18" t="s">
        <v>194</v>
      </c>
      <c r="K46" s="18" t="s">
        <v>188</v>
      </c>
      <c r="L46" s="18" t="s">
        <v>228</v>
      </c>
      <c r="M46" s="18" t="s">
        <v>201</v>
      </c>
    </row>
    <row r="47" spans="1:13" x14ac:dyDescent="0.3">
      <c r="A47" s="8">
        <v>132870</v>
      </c>
      <c r="B47" s="9" t="s">
        <v>276</v>
      </c>
      <c r="C47" s="18" t="s">
        <v>186</v>
      </c>
      <c r="D47" s="18" t="s">
        <v>186</v>
      </c>
      <c r="E47" s="9" t="s">
        <v>187</v>
      </c>
      <c r="F47" s="10">
        <v>22.1430781</v>
      </c>
      <c r="G47" s="10">
        <v>-100.9354788</v>
      </c>
      <c r="H47" s="18" t="s">
        <v>225</v>
      </c>
      <c r="I47" s="18" t="s">
        <v>188</v>
      </c>
      <c r="J47" s="18" t="s">
        <v>196</v>
      </c>
      <c r="K47" s="18" t="s">
        <v>188</v>
      </c>
      <c r="L47" s="18" t="s">
        <v>228</v>
      </c>
      <c r="M47" s="18" t="s">
        <v>225</v>
      </c>
    </row>
    <row r="48" spans="1:13" x14ac:dyDescent="0.3">
      <c r="A48" s="8">
        <v>132872</v>
      </c>
      <c r="B48" s="9" t="s">
        <v>277</v>
      </c>
      <c r="C48" s="18" t="s">
        <v>186</v>
      </c>
      <c r="D48" s="18" t="s">
        <v>186</v>
      </c>
      <c r="E48" s="9" t="s">
        <v>187</v>
      </c>
      <c r="F48" s="10">
        <v>22.173595500000001</v>
      </c>
      <c r="G48" s="10">
        <v>-100.9946027</v>
      </c>
      <c r="H48" s="18" t="s">
        <v>225</v>
      </c>
      <c r="I48" s="18" t="s">
        <v>188</v>
      </c>
      <c r="J48" s="18" t="s">
        <v>194</v>
      </c>
      <c r="K48" s="18" t="s">
        <v>188</v>
      </c>
      <c r="L48" s="18" t="s">
        <v>228</v>
      </c>
      <c r="M48" s="18" t="s">
        <v>195</v>
      </c>
    </row>
    <row r="49" spans="1:13" x14ac:dyDescent="0.3">
      <c r="A49" s="8">
        <v>132875</v>
      </c>
      <c r="B49" s="9" t="s">
        <v>278</v>
      </c>
      <c r="C49" s="18" t="s">
        <v>186</v>
      </c>
      <c r="D49" s="18" t="s">
        <v>186</v>
      </c>
      <c r="E49" s="9" t="s">
        <v>187</v>
      </c>
      <c r="F49" s="10">
        <v>22.1499013</v>
      </c>
      <c r="G49" s="10">
        <v>-100.9937793</v>
      </c>
      <c r="H49" s="18" t="s">
        <v>257</v>
      </c>
      <c r="I49" s="18" t="s">
        <v>250</v>
      </c>
      <c r="J49" s="18" t="s">
        <v>210</v>
      </c>
      <c r="K49" s="18" t="s">
        <v>201</v>
      </c>
      <c r="L49" s="18" t="s">
        <v>226</v>
      </c>
      <c r="M49" s="18" t="s">
        <v>273</v>
      </c>
    </row>
    <row r="50" spans="1:13" x14ac:dyDescent="0.3">
      <c r="A50" s="8">
        <v>132877</v>
      </c>
      <c r="B50" s="9" t="s">
        <v>279</v>
      </c>
      <c r="C50" s="18" t="s">
        <v>186</v>
      </c>
      <c r="D50" s="18" t="s">
        <v>186</v>
      </c>
      <c r="E50" s="9" t="s">
        <v>187</v>
      </c>
      <c r="F50" s="10">
        <v>22.135363900000002</v>
      </c>
      <c r="G50" s="10">
        <v>-100.9349477</v>
      </c>
      <c r="H50" s="18" t="s">
        <v>225</v>
      </c>
      <c r="I50" s="18" t="s">
        <v>188</v>
      </c>
      <c r="J50" s="18" t="s">
        <v>196</v>
      </c>
      <c r="K50" s="18" t="s">
        <v>188</v>
      </c>
      <c r="L50" s="18" t="s">
        <v>228</v>
      </c>
      <c r="M50" s="18" t="s">
        <v>225</v>
      </c>
    </row>
    <row r="51" spans="1:13" x14ac:dyDescent="0.3">
      <c r="A51" s="8">
        <v>132884</v>
      </c>
      <c r="B51" s="9" t="s">
        <v>280</v>
      </c>
      <c r="C51" s="18" t="s">
        <v>186</v>
      </c>
      <c r="D51" s="18" t="s">
        <v>186</v>
      </c>
      <c r="E51" s="9" t="s">
        <v>187</v>
      </c>
      <c r="F51" s="10">
        <v>22.139577599999999</v>
      </c>
      <c r="G51" s="10">
        <v>-101.02788630000001</v>
      </c>
      <c r="H51" s="18" t="s">
        <v>225</v>
      </c>
      <c r="I51" s="18" t="s">
        <v>188</v>
      </c>
      <c r="J51" s="18" t="s">
        <v>196</v>
      </c>
      <c r="K51" s="18" t="s">
        <v>188</v>
      </c>
      <c r="L51" s="18" t="s">
        <v>228</v>
      </c>
      <c r="M51" s="18" t="s">
        <v>225</v>
      </c>
    </row>
    <row r="52" spans="1:13" x14ac:dyDescent="0.3">
      <c r="A52" s="8">
        <v>132885</v>
      </c>
      <c r="B52" s="9" t="s">
        <v>281</v>
      </c>
      <c r="C52" s="18" t="s">
        <v>186</v>
      </c>
      <c r="D52" s="18" t="s">
        <v>186</v>
      </c>
      <c r="E52" s="9" t="s">
        <v>187</v>
      </c>
      <c r="F52" s="10">
        <v>22.179516899999999</v>
      </c>
      <c r="G52" s="10">
        <v>-100.9584358</v>
      </c>
      <c r="H52" s="18" t="s">
        <v>225</v>
      </c>
      <c r="I52" s="18" t="s">
        <v>188</v>
      </c>
      <c r="J52" s="18" t="s">
        <v>196</v>
      </c>
      <c r="K52" s="18" t="s">
        <v>188</v>
      </c>
      <c r="L52" s="18" t="s">
        <v>228</v>
      </c>
      <c r="M52" s="18" t="s">
        <v>195</v>
      </c>
    </row>
    <row r="53" spans="1:13" x14ac:dyDescent="0.3">
      <c r="A53" s="8">
        <v>132921</v>
      </c>
      <c r="B53" s="9" t="s">
        <v>282</v>
      </c>
      <c r="C53" s="18" t="s">
        <v>186</v>
      </c>
      <c r="D53" s="18" t="s">
        <v>186</v>
      </c>
      <c r="E53" s="9" t="s">
        <v>187</v>
      </c>
      <c r="F53" s="10">
        <v>22.150304999999999</v>
      </c>
      <c r="G53" s="10">
        <v>-100.9891337</v>
      </c>
      <c r="H53" s="18" t="s">
        <v>257</v>
      </c>
      <c r="I53" s="18" t="s">
        <v>250</v>
      </c>
      <c r="J53" s="18" t="s">
        <v>196</v>
      </c>
      <c r="K53" s="18" t="s">
        <v>188</v>
      </c>
      <c r="L53" s="18" t="s">
        <v>226</v>
      </c>
      <c r="M53" s="18" t="s">
        <v>225</v>
      </c>
    </row>
    <row r="54" spans="1:13" x14ac:dyDescent="0.3">
      <c r="A54" s="8">
        <v>132922</v>
      </c>
      <c r="B54" s="9" t="s">
        <v>283</v>
      </c>
      <c r="C54" s="18" t="s">
        <v>186</v>
      </c>
      <c r="D54" s="18" t="s">
        <v>186</v>
      </c>
      <c r="E54" s="9" t="s">
        <v>187</v>
      </c>
      <c r="F54" s="10">
        <v>22.151134800000001</v>
      </c>
      <c r="G54" s="10">
        <v>-100.98231149999999</v>
      </c>
      <c r="H54" s="18" t="s">
        <v>225</v>
      </c>
      <c r="I54" s="18" t="s">
        <v>201</v>
      </c>
      <c r="J54" s="18" t="s">
        <v>194</v>
      </c>
      <c r="K54" s="18" t="s">
        <v>188</v>
      </c>
      <c r="L54" s="18" t="s">
        <v>228</v>
      </c>
      <c r="M54" s="18" t="s">
        <v>225</v>
      </c>
    </row>
    <row r="55" spans="1:13" x14ac:dyDescent="0.3">
      <c r="A55" s="8">
        <v>132925</v>
      </c>
      <c r="B55" s="9" t="s">
        <v>284</v>
      </c>
      <c r="C55" s="18" t="s">
        <v>186</v>
      </c>
      <c r="D55" s="18" t="s">
        <v>186</v>
      </c>
      <c r="E55" s="9" t="s">
        <v>187</v>
      </c>
      <c r="F55" s="10">
        <v>22.153499700000001</v>
      </c>
      <c r="G55" s="10">
        <v>-100.976243</v>
      </c>
      <c r="H55" s="18" t="s">
        <v>257</v>
      </c>
      <c r="I55" s="18" t="s">
        <v>188</v>
      </c>
      <c r="J55" s="18" t="s">
        <v>194</v>
      </c>
      <c r="K55" s="18" t="s">
        <v>188</v>
      </c>
      <c r="L55" s="18" t="s">
        <v>228</v>
      </c>
      <c r="M55" s="18" t="s">
        <v>225</v>
      </c>
    </row>
    <row r="56" spans="1:13" x14ac:dyDescent="0.3">
      <c r="A56" s="8">
        <v>132937</v>
      </c>
      <c r="B56" s="9" t="s">
        <v>285</v>
      </c>
      <c r="C56" s="18" t="s">
        <v>186</v>
      </c>
      <c r="D56" s="18" t="s">
        <v>186</v>
      </c>
      <c r="E56" s="9" t="s">
        <v>187</v>
      </c>
      <c r="F56" s="10">
        <v>22.1500193</v>
      </c>
      <c r="G56" s="10">
        <v>-100.9799203</v>
      </c>
      <c r="H56" s="18" t="s">
        <v>249</v>
      </c>
      <c r="I56" s="18" t="s">
        <v>250</v>
      </c>
      <c r="J56" s="18" t="s">
        <v>196</v>
      </c>
      <c r="K56" s="18" t="s">
        <v>188</v>
      </c>
      <c r="L56" s="18" t="s">
        <v>228</v>
      </c>
      <c r="M56" s="18" t="s">
        <v>225</v>
      </c>
    </row>
    <row r="57" spans="1:13" x14ac:dyDescent="0.3">
      <c r="A57" s="8">
        <v>132951</v>
      </c>
      <c r="B57" s="9" t="s">
        <v>286</v>
      </c>
      <c r="C57" s="18" t="s">
        <v>186</v>
      </c>
      <c r="D57" s="18" t="s">
        <v>186</v>
      </c>
      <c r="E57" s="9" t="s">
        <v>187</v>
      </c>
      <c r="F57" s="10">
        <v>22.154473599999999</v>
      </c>
      <c r="G57" s="10">
        <v>-100.9858091</v>
      </c>
      <c r="H57" s="18" t="s">
        <v>225</v>
      </c>
      <c r="I57" s="18" t="s">
        <v>188</v>
      </c>
      <c r="J57" s="18" t="s">
        <v>196</v>
      </c>
      <c r="K57" s="18" t="s">
        <v>188</v>
      </c>
      <c r="L57" s="18" t="s">
        <v>228</v>
      </c>
      <c r="M57" s="18" t="s">
        <v>201</v>
      </c>
    </row>
    <row r="58" spans="1:13" x14ac:dyDescent="0.3">
      <c r="A58" s="8">
        <v>132954</v>
      </c>
      <c r="B58" s="9" t="s">
        <v>287</v>
      </c>
      <c r="C58" s="18" t="s">
        <v>186</v>
      </c>
      <c r="D58" s="18" t="s">
        <v>186</v>
      </c>
      <c r="E58" s="9" t="s">
        <v>187</v>
      </c>
      <c r="F58" s="10">
        <v>22.160380799999999</v>
      </c>
      <c r="G58" s="10">
        <v>-100.9880447</v>
      </c>
      <c r="H58" s="18" t="s">
        <v>225</v>
      </c>
      <c r="I58" s="18" t="s">
        <v>188</v>
      </c>
      <c r="J58" s="18" t="s">
        <v>194</v>
      </c>
      <c r="K58" s="18" t="s">
        <v>201</v>
      </c>
      <c r="L58" s="18" t="s">
        <v>228</v>
      </c>
      <c r="M58" s="18" t="s">
        <v>201</v>
      </c>
    </row>
    <row r="59" spans="1:13" x14ac:dyDescent="0.3">
      <c r="A59" s="8">
        <v>132955</v>
      </c>
      <c r="B59" s="9" t="s">
        <v>288</v>
      </c>
      <c r="C59" s="18" t="s">
        <v>186</v>
      </c>
      <c r="D59" s="18" t="s">
        <v>186</v>
      </c>
      <c r="E59" s="9" t="s">
        <v>187</v>
      </c>
      <c r="F59" s="10">
        <v>22.147621999999998</v>
      </c>
      <c r="G59" s="10">
        <v>-101.0102749</v>
      </c>
      <c r="H59" s="18" t="s">
        <v>257</v>
      </c>
      <c r="I59" s="18" t="s">
        <v>188</v>
      </c>
      <c r="J59" s="18" t="s">
        <v>196</v>
      </c>
      <c r="K59" s="18" t="s">
        <v>201</v>
      </c>
      <c r="L59" s="18" t="s">
        <v>228</v>
      </c>
      <c r="M59" s="18" t="s">
        <v>225</v>
      </c>
    </row>
    <row r="60" spans="1:13" x14ac:dyDescent="0.3">
      <c r="A60" s="8">
        <v>132958</v>
      </c>
      <c r="B60" s="9" t="s">
        <v>289</v>
      </c>
      <c r="C60" s="18" t="s">
        <v>186</v>
      </c>
      <c r="D60" s="18" t="s">
        <v>186</v>
      </c>
      <c r="E60" s="9" t="s">
        <v>187</v>
      </c>
      <c r="F60" s="10">
        <v>22.144978699999999</v>
      </c>
      <c r="G60" s="10">
        <v>-101.0056829</v>
      </c>
      <c r="H60" s="18" t="s">
        <v>225</v>
      </c>
      <c r="I60" s="18" t="s">
        <v>188</v>
      </c>
      <c r="J60" s="18" t="s">
        <v>196</v>
      </c>
      <c r="K60" s="18" t="s">
        <v>201</v>
      </c>
      <c r="L60" s="18" t="s">
        <v>228</v>
      </c>
      <c r="M60" s="18" t="s">
        <v>225</v>
      </c>
    </row>
    <row r="61" spans="1:13" x14ac:dyDescent="0.3">
      <c r="A61" s="8">
        <v>134975</v>
      </c>
      <c r="B61" s="9" t="s">
        <v>290</v>
      </c>
      <c r="C61" s="18" t="s">
        <v>198</v>
      </c>
      <c r="D61" s="18" t="s">
        <v>199</v>
      </c>
      <c r="E61" s="9" t="s">
        <v>187</v>
      </c>
      <c r="F61" s="10">
        <v>18.940828</v>
      </c>
      <c r="G61" s="10">
        <v>-99.215425999999994</v>
      </c>
      <c r="H61" s="18" t="s">
        <v>249</v>
      </c>
      <c r="I61" s="18" t="s">
        <v>250</v>
      </c>
      <c r="J61" s="18" t="s">
        <v>210</v>
      </c>
      <c r="K61" s="18" t="s">
        <v>188</v>
      </c>
      <c r="L61" s="18" t="s">
        <v>228</v>
      </c>
      <c r="M61" s="18" t="s">
        <v>273</v>
      </c>
    </row>
    <row r="62" spans="1:13" x14ac:dyDescent="0.3">
      <c r="A62" s="8">
        <v>134976</v>
      </c>
      <c r="B62" s="9" t="s">
        <v>291</v>
      </c>
      <c r="C62" s="18" t="s">
        <v>198</v>
      </c>
      <c r="D62" s="18" t="s">
        <v>199</v>
      </c>
      <c r="E62" s="9" t="s">
        <v>187</v>
      </c>
      <c r="F62" s="10">
        <v>18.916654000000001</v>
      </c>
      <c r="G62" s="10">
        <v>-99.227109999999996</v>
      </c>
      <c r="H62" s="18" t="s">
        <v>225</v>
      </c>
      <c r="I62" s="18" t="s">
        <v>188</v>
      </c>
      <c r="J62" s="18" t="s">
        <v>196</v>
      </c>
      <c r="K62" s="18" t="s">
        <v>188</v>
      </c>
      <c r="L62" s="18" t="s">
        <v>228</v>
      </c>
      <c r="M62" s="18" t="s">
        <v>201</v>
      </c>
    </row>
    <row r="63" spans="1:13" x14ac:dyDescent="0.3">
      <c r="A63" s="8">
        <v>134983</v>
      </c>
      <c r="B63" s="9" t="s">
        <v>292</v>
      </c>
      <c r="C63" s="18" t="s">
        <v>198</v>
      </c>
      <c r="D63" s="18" t="s">
        <v>199</v>
      </c>
      <c r="E63" s="9" t="s">
        <v>187</v>
      </c>
      <c r="F63" s="10">
        <v>18.948657000000001</v>
      </c>
      <c r="G63" s="10">
        <v>-99.235360999999997</v>
      </c>
      <c r="H63" s="18" t="s">
        <v>249</v>
      </c>
      <c r="I63" s="18" t="s">
        <v>250</v>
      </c>
      <c r="J63" s="18" t="s">
        <v>210</v>
      </c>
      <c r="K63" s="18" t="s">
        <v>188</v>
      </c>
      <c r="L63" s="18" t="s">
        <v>228</v>
      </c>
      <c r="M63" s="18" t="s">
        <v>201</v>
      </c>
    </row>
    <row r="64" spans="1:13" x14ac:dyDescent="0.3">
      <c r="A64" s="8">
        <v>134986</v>
      </c>
      <c r="B64" s="9" t="s">
        <v>293</v>
      </c>
      <c r="C64" s="18" t="s">
        <v>198</v>
      </c>
      <c r="D64" s="18" t="s">
        <v>199</v>
      </c>
      <c r="E64" s="9" t="s">
        <v>187</v>
      </c>
      <c r="F64" s="10">
        <v>18.928798</v>
      </c>
      <c r="G64" s="10">
        <v>-99.239513000000002</v>
      </c>
      <c r="H64" s="18" t="s">
        <v>257</v>
      </c>
      <c r="I64" s="18" t="s">
        <v>188</v>
      </c>
      <c r="J64" s="18" t="s">
        <v>210</v>
      </c>
      <c r="K64" s="18" t="s">
        <v>188</v>
      </c>
      <c r="L64" s="18" t="s">
        <v>228</v>
      </c>
      <c r="M64" s="18" t="s">
        <v>201</v>
      </c>
    </row>
    <row r="65" spans="1:13" x14ac:dyDescent="0.3">
      <c r="A65" s="8">
        <v>134987</v>
      </c>
      <c r="B65" s="9" t="s">
        <v>294</v>
      </c>
      <c r="C65" s="18" t="s">
        <v>198</v>
      </c>
      <c r="D65" s="18" t="s">
        <v>199</v>
      </c>
      <c r="E65" s="9" t="s">
        <v>187</v>
      </c>
      <c r="F65" s="10">
        <v>18.932725000000001</v>
      </c>
      <c r="G65" s="10">
        <v>-99.225211000000002</v>
      </c>
      <c r="H65" s="18" t="s">
        <v>257</v>
      </c>
      <c r="I65" s="18" t="s">
        <v>188</v>
      </c>
      <c r="J65" s="18" t="s">
        <v>194</v>
      </c>
      <c r="K65" s="18" t="s">
        <v>188</v>
      </c>
      <c r="L65" s="18" t="s">
        <v>228</v>
      </c>
      <c r="M65" s="18" t="s">
        <v>225</v>
      </c>
    </row>
    <row r="66" spans="1:13" x14ac:dyDescent="0.3">
      <c r="A66" s="8">
        <v>134992</v>
      </c>
      <c r="B66" s="9" t="s">
        <v>295</v>
      </c>
      <c r="C66" s="18" t="s">
        <v>198</v>
      </c>
      <c r="D66" s="18" t="s">
        <v>199</v>
      </c>
      <c r="E66" s="9" t="s">
        <v>187</v>
      </c>
      <c r="F66" s="10">
        <v>18.936682999999999</v>
      </c>
      <c r="G66" s="10">
        <v>-99.247366</v>
      </c>
      <c r="H66" s="18" t="s">
        <v>257</v>
      </c>
      <c r="I66" s="18" t="s">
        <v>250</v>
      </c>
      <c r="J66" s="18" t="s">
        <v>210</v>
      </c>
      <c r="K66" s="18" t="s">
        <v>188</v>
      </c>
      <c r="L66" s="18" t="s">
        <v>228</v>
      </c>
      <c r="M66" s="18" t="s">
        <v>201</v>
      </c>
    </row>
    <row r="67" spans="1:13" x14ac:dyDescent="0.3">
      <c r="A67" s="8">
        <v>134996</v>
      </c>
      <c r="B67" s="9" t="s">
        <v>296</v>
      </c>
      <c r="C67" s="18" t="s">
        <v>198</v>
      </c>
      <c r="D67" s="18" t="s">
        <v>199</v>
      </c>
      <c r="E67" s="9" t="s">
        <v>187</v>
      </c>
      <c r="F67" s="10">
        <v>18.923428999999999</v>
      </c>
      <c r="G67" s="10">
        <v>-99.216413000000003</v>
      </c>
      <c r="H67" s="18" t="s">
        <v>257</v>
      </c>
      <c r="I67" s="18" t="s">
        <v>297</v>
      </c>
      <c r="J67" s="18" t="s">
        <v>194</v>
      </c>
      <c r="K67" s="18" t="s">
        <v>201</v>
      </c>
      <c r="L67" s="18" t="s">
        <v>228</v>
      </c>
      <c r="M67" s="18" t="s">
        <v>201</v>
      </c>
    </row>
    <row r="68" spans="1:13" x14ac:dyDescent="0.3">
      <c r="A68" s="8">
        <v>134999</v>
      </c>
      <c r="B68" s="9" t="s">
        <v>298</v>
      </c>
      <c r="C68" s="18" t="s">
        <v>198</v>
      </c>
      <c r="D68" s="18" t="s">
        <v>199</v>
      </c>
      <c r="E68" s="9" t="s">
        <v>187</v>
      </c>
      <c r="F68" s="10">
        <v>18.915420999999998</v>
      </c>
      <c r="G68" s="10">
        <v>-99.184871000000001</v>
      </c>
      <c r="H68" s="18" t="s">
        <v>225</v>
      </c>
      <c r="I68" s="18" t="s">
        <v>188</v>
      </c>
      <c r="J68" s="18" t="s">
        <v>194</v>
      </c>
      <c r="K68" s="18" t="s">
        <v>188</v>
      </c>
      <c r="L68" s="18" t="s">
        <v>228</v>
      </c>
      <c r="M68" s="18" t="s">
        <v>225</v>
      </c>
    </row>
    <row r="69" spans="1:13" x14ac:dyDescent="0.3">
      <c r="A69" s="8">
        <v>135000</v>
      </c>
      <c r="B69" s="9" t="s">
        <v>299</v>
      </c>
      <c r="C69" s="18" t="s">
        <v>198</v>
      </c>
      <c r="D69" s="18" t="s">
        <v>199</v>
      </c>
      <c r="E69" s="9" t="s">
        <v>187</v>
      </c>
      <c r="F69" s="10">
        <v>18.870564999999999</v>
      </c>
      <c r="G69" s="10">
        <v>-99.226938000000004</v>
      </c>
      <c r="H69" s="18" t="s">
        <v>225</v>
      </c>
      <c r="I69" s="18" t="s">
        <v>188</v>
      </c>
      <c r="J69" s="18" t="s">
        <v>194</v>
      </c>
      <c r="K69" s="18" t="s">
        <v>188</v>
      </c>
      <c r="L69" s="18" t="s">
        <v>228</v>
      </c>
      <c r="M69" s="18" t="s">
        <v>225</v>
      </c>
    </row>
    <row r="70" spans="1:13" x14ac:dyDescent="0.3">
      <c r="A70" s="8">
        <v>135011</v>
      </c>
      <c r="B70" s="9" t="s">
        <v>300</v>
      </c>
      <c r="C70" s="18" t="s">
        <v>198</v>
      </c>
      <c r="D70" s="18" t="s">
        <v>199</v>
      </c>
      <c r="E70" s="9" t="s">
        <v>187</v>
      </c>
      <c r="F70" s="10">
        <v>18.910609999999998</v>
      </c>
      <c r="G70" s="10">
        <v>-99.169539</v>
      </c>
      <c r="H70" s="18" t="s">
        <v>225</v>
      </c>
      <c r="I70" s="18" t="s">
        <v>188</v>
      </c>
      <c r="J70" s="18" t="s">
        <v>194</v>
      </c>
      <c r="K70" s="18" t="s">
        <v>201</v>
      </c>
      <c r="L70" s="18" t="s">
        <v>228</v>
      </c>
      <c r="M70" s="18" t="s">
        <v>225</v>
      </c>
    </row>
    <row r="71" spans="1:13" x14ac:dyDescent="0.3">
      <c r="A71" s="8">
        <v>135013</v>
      </c>
      <c r="B71" s="9" t="s">
        <v>301</v>
      </c>
      <c r="C71" s="18" t="s">
        <v>198</v>
      </c>
      <c r="D71" s="18" t="s">
        <v>199</v>
      </c>
      <c r="E71" s="9" t="s">
        <v>187</v>
      </c>
      <c r="F71" s="10">
        <v>18.917441</v>
      </c>
      <c r="G71" s="10">
        <v>-99.165944999999994</v>
      </c>
      <c r="H71" s="18" t="s">
        <v>225</v>
      </c>
      <c r="I71" s="18" t="s">
        <v>188</v>
      </c>
      <c r="J71" s="18" t="s">
        <v>196</v>
      </c>
      <c r="K71" s="18" t="s">
        <v>188</v>
      </c>
      <c r="L71" s="18" t="s">
        <v>228</v>
      </c>
      <c r="M71" s="18" t="s">
        <v>225</v>
      </c>
    </row>
    <row r="72" spans="1:13" x14ac:dyDescent="0.3">
      <c r="A72" s="8">
        <v>135016</v>
      </c>
      <c r="B72" s="9" t="s">
        <v>302</v>
      </c>
      <c r="C72" s="18" t="s">
        <v>198</v>
      </c>
      <c r="D72" s="18" t="s">
        <v>199</v>
      </c>
      <c r="E72" s="9" t="s">
        <v>187</v>
      </c>
      <c r="F72" s="10">
        <v>18.869347000000001</v>
      </c>
      <c r="G72" s="10">
        <v>-99.209943999999993</v>
      </c>
      <c r="H72" s="18" t="s">
        <v>225</v>
      </c>
      <c r="I72" s="18" t="s">
        <v>188</v>
      </c>
      <c r="J72" s="18" t="s">
        <v>194</v>
      </c>
      <c r="K72" s="18" t="s">
        <v>188</v>
      </c>
      <c r="L72" s="18" t="s">
        <v>228</v>
      </c>
      <c r="M72" s="18" t="s">
        <v>225</v>
      </c>
    </row>
    <row r="73" spans="1:13" x14ac:dyDescent="0.3">
      <c r="A73" s="8">
        <v>135018</v>
      </c>
      <c r="B73" s="9" t="s">
        <v>303</v>
      </c>
      <c r="C73" s="18" t="s">
        <v>198</v>
      </c>
      <c r="D73" s="18" t="s">
        <v>199</v>
      </c>
      <c r="E73" s="9" t="s">
        <v>187</v>
      </c>
      <c r="F73" s="10">
        <v>18.859802999999999</v>
      </c>
      <c r="G73" s="10">
        <v>-99.222164000000006</v>
      </c>
      <c r="H73" s="18" t="s">
        <v>249</v>
      </c>
      <c r="I73" s="18" t="s">
        <v>201</v>
      </c>
      <c r="J73" s="18" t="s">
        <v>194</v>
      </c>
      <c r="K73" s="18" t="s">
        <v>188</v>
      </c>
      <c r="L73" s="18" t="s">
        <v>226</v>
      </c>
      <c r="M73" s="18" t="s">
        <v>201</v>
      </c>
    </row>
    <row r="74" spans="1:13" x14ac:dyDescent="0.3">
      <c r="A74" s="8">
        <v>135019</v>
      </c>
      <c r="B74" s="9" t="s">
        <v>304</v>
      </c>
      <c r="C74" s="18" t="s">
        <v>211</v>
      </c>
      <c r="D74" s="18" t="s">
        <v>199</v>
      </c>
      <c r="E74" s="9" t="s">
        <v>187</v>
      </c>
      <c r="F74" s="10">
        <v>18.875011000000001</v>
      </c>
      <c r="G74" s="10">
        <v>-99.159422000000006</v>
      </c>
      <c r="H74" s="18" t="s">
        <v>225</v>
      </c>
      <c r="I74" s="18" t="s">
        <v>188</v>
      </c>
      <c r="J74" s="18" t="s">
        <v>196</v>
      </c>
      <c r="K74" s="18" t="s">
        <v>188</v>
      </c>
      <c r="L74" s="18" t="s">
        <v>228</v>
      </c>
      <c r="M74" s="18" t="s">
        <v>225</v>
      </c>
    </row>
    <row r="75" spans="1:13" x14ac:dyDescent="0.3">
      <c r="A75" s="8">
        <v>135021</v>
      </c>
      <c r="B75" s="9" t="s">
        <v>305</v>
      </c>
      <c r="C75" s="18" t="s">
        <v>198</v>
      </c>
      <c r="D75" s="18" t="s">
        <v>199</v>
      </c>
      <c r="E75" s="9" t="s">
        <v>187</v>
      </c>
      <c r="F75" s="10">
        <v>18.933537000000001</v>
      </c>
      <c r="G75" s="10">
        <v>-99.222497000000004</v>
      </c>
      <c r="H75" s="18" t="s">
        <v>225</v>
      </c>
      <c r="I75" s="18" t="s">
        <v>188</v>
      </c>
      <c r="J75" s="18" t="s">
        <v>196</v>
      </c>
      <c r="K75" s="18" t="s">
        <v>201</v>
      </c>
      <c r="L75" s="18" t="s">
        <v>228</v>
      </c>
      <c r="M75" s="18" t="s">
        <v>195</v>
      </c>
    </row>
    <row r="76" spans="1:13" x14ac:dyDescent="0.3">
      <c r="A76" s="8">
        <v>135025</v>
      </c>
      <c r="B76" s="9" t="s">
        <v>306</v>
      </c>
      <c r="C76" s="18" t="s">
        <v>186</v>
      </c>
      <c r="D76" s="18" t="s">
        <v>186</v>
      </c>
      <c r="E76" s="9" t="s">
        <v>187</v>
      </c>
      <c r="F76" s="10">
        <v>22.149550000000001</v>
      </c>
      <c r="G76" s="10">
        <v>-100.97797</v>
      </c>
      <c r="H76" s="18" t="s">
        <v>225</v>
      </c>
      <c r="I76" s="18" t="s">
        <v>188</v>
      </c>
      <c r="J76" s="18" t="s">
        <v>194</v>
      </c>
      <c r="K76" s="18" t="s">
        <v>188</v>
      </c>
      <c r="L76" s="18" t="s">
        <v>228</v>
      </c>
      <c r="M76" s="18" t="s">
        <v>225</v>
      </c>
    </row>
    <row r="77" spans="1:13" x14ac:dyDescent="0.3">
      <c r="A77" s="8">
        <v>135026</v>
      </c>
      <c r="B77" s="9" t="s">
        <v>307</v>
      </c>
      <c r="C77" s="18" t="s">
        <v>186</v>
      </c>
      <c r="D77" s="18" t="s">
        <v>186</v>
      </c>
      <c r="E77" s="9" t="s">
        <v>187</v>
      </c>
      <c r="F77" s="10">
        <v>22.148665000000001</v>
      </c>
      <c r="G77" s="10">
        <v>-101.001273</v>
      </c>
      <c r="H77" s="18" t="s">
        <v>249</v>
      </c>
      <c r="I77" s="18" t="s">
        <v>188</v>
      </c>
      <c r="J77" s="18" t="s">
        <v>210</v>
      </c>
      <c r="K77" s="18" t="s">
        <v>188</v>
      </c>
      <c r="L77" s="18" t="s">
        <v>228</v>
      </c>
      <c r="M77" s="18" t="s">
        <v>225</v>
      </c>
    </row>
    <row r="78" spans="1:13" x14ac:dyDescent="0.3">
      <c r="A78" s="8">
        <v>135027</v>
      </c>
      <c r="B78" s="9" t="s">
        <v>308</v>
      </c>
      <c r="C78" s="18" t="s">
        <v>186</v>
      </c>
      <c r="D78" s="18" t="s">
        <v>186</v>
      </c>
      <c r="E78" s="9" t="s">
        <v>187</v>
      </c>
      <c r="F78" s="10">
        <v>22.147144999999998</v>
      </c>
      <c r="G78" s="10">
        <v>-100.97449400000001</v>
      </c>
      <c r="H78" s="18" t="s">
        <v>257</v>
      </c>
      <c r="I78" s="18" t="s">
        <v>188</v>
      </c>
      <c r="J78" s="18" t="s">
        <v>194</v>
      </c>
      <c r="K78" s="18" t="s">
        <v>188</v>
      </c>
      <c r="L78" s="18" t="s">
        <v>228</v>
      </c>
      <c r="M78" s="18" t="s">
        <v>225</v>
      </c>
    </row>
    <row r="79" spans="1:13" x14ac:dyDescent="0.3">
      <c r="A79" s="8">
        <v>135028</v>
      </c>
      <c r="B79" s="9" t="s">
        <v>309</v>
      </c>
      <c r="C79" s="18" t="s">
        <v>186</v>
      </c>
      <c r="D79" s="18" t="s">
        <v>186</v>
      </c>
      <c r="E79" s="9" t="s">
        <v>187</v>
      </c>
      <c r="F79" s="10">
        <v>22.146657999999999</v>
      </c>
      <c r="G79" s="10">
        <v>-100.987219</v>
      </c>
      <c r="H79" s="18" t="s">
        <v>257</v>
      </c>
      <c r="I79" s="18" t="s">
        <v>188</v>
      </c>
      <c r="J79" s="18" t="s">
        <v>194</v>
      </c>
      <c r="K79" s="18" t="s">
        <v>188</v>
      </c>
      <c r="L79" s="18" t="s">
        <v>228</v>
      </c>
      <c r="M79" s="18" t="s">
        <v>225</v>
      </c>
    </row>
    <row r="80" spans="1:13" x14ac:dyDescent="0.3">
      <c r="A80" s="8">
        <v>135030</v>
      </c>
      <c r="B80" s="9" t="s">
        <v>310</v>
      </c>
      <c r="C80" s="18" t="s">
        <v>186</v>
      </c>
      <c r="D80" s="18" t="s">
        <v>186</v>
      </c>
      <c r="E80" s="9" t="s">
        <v>187</v>
      </c>
      <c r="F80" s="10">
        <v>22.147880000000001</v>
      </c>
      <c r="G80" s="10">
        <v>-100.98947200000001</v>
      </c>
      <c r="H80" s="18" t="s">
        <v>225</v>
      </c>
      <c r="I80" s="18" t="s">
        <v>188</v>
      </c>
      <c r="J80" s="18" t="s">
        <v>194</v>
      </c>
      <c r="K80" s="18" t="s">
        <v>188</v>
      </c>
      <c r="L80" s="18" t="s">
        <v>228</v>
      </c>
      <c r="M80" s="18" t="s">
        <v>225</v>
      </c>
    </row>
    <row r="81" spans="1:13" x14ac:dyDescent="0.3">
      <c r="A81" s="8">
        <v>135032</v>
      </c>
      <c r="B81" s="9" t="s">
        <v>311</v>
      </c>
      <c r="C81" s="18" t="s">
        <v>186</v>
      </c>
      <c r="D81" s="18" t="s">
        <v>186</v>
      </c>
      <c r="E81" s="9" t="s">
        <v>187</v>
      </c>
      <c r="F81" s="10">
        <v>22.152481000000002</v>
      </c>
      <c r="G81" s="10">
        <v>-100.97348599999999</v>
      </c>
      <c r="H81" s="18" t="s">
        <v>257</v>
      </c>
      <c r="I81" s="18" t="s">
        <v>250</v>
      </c>
      <c r="J81" s="18" t="s">
        <v>194</v>
      </c>
      <c r="K81" s="18" t="s">
        <v>188</v>
      </c>
      <c r="L81" s="18" t="s">
        <v>228</v>
      </c>
      <c r="M81" s="18" t="s">
        <v>195</v>
      </c>
    </row>
    <row r="82" spans="1:13" x14ac:dyDescent="0.3">
      <c r="A82" s="8">
        <v>135033</v>
      </c>
      <c r="B82" s="9" t="s">
        <v>312</v>
      </c>
      <c r="C82" s="18" t="s">
        <v>186</v>
      </c>
      <c r="D82" s="18" t="s">
        <v>186</v>
      </c>
      <c r="E82" s="9" t="s">
        <v>187</v>
      </c>
      <c r="F82" s="10">
        <v>22.14161</v>
      </c>
      <c r="G82" s="10">
        <v>-100.973142</v>
      </c>
      <c r="H82" s="18" t="s">
        <v>225</v>
      </c>
      <c r="I82" s="18" t="s">
        <v>250</v>
      </c>
      <c r="J82" s="18" t="s">
        <v>194</v>
      </c>
      <c r="K82" s="18" t="s">
        <v>188</v>
      </c>
      <c r="L82" s="18" t="s">
        <v>228</v>
      </c>
      <c r="M82" s="18" t="s">
        <v>225</v>
      </c>
    </row>
    <row r="83" spans="1:13" x14ac:dyDescent="0.3">
      <c r="A83" s="8">
        <v>135034</v>
      </c>
      <c r="B83" s="9" t="s">
        <v>313</v>
      </c>
      <c r="C83" s="18" t="s">
        <v>186</v>
      </c>
      <c r="D83" s="18" t="s">
        <v>186</v>
      </c>
      <c r="E83" s="9" t="s">
        <v>187</v>
      </c>
      <c r="F83" s="10">
        <v>22.140516999999999</v>
      </c>
      <c r="G83" s="10">
        <v>-101.021422</v>
      </c>
      <c r="H83" s="18" t="s">
        <v>225</v>
      </c>
      <c r="I83" s="18" t="s">
        <v>188</v>
      </c>
      <c r="J83" s="18" t="s">
        <v>194</v>
      </c>
      <c r="K83" s="18" t="s">
        <v>188</v>
      </c>
      <c r="L83" s="18" t="s">
        <v>228</v>
      </c>
      <c r="M83" s="18" t="s">
        <v>225</v>
      </c>
    </row>
    <row r="84" spans="1:13" x14ac:dyDescent="0.3">
      <c r="A84" s="8">
        <v>135035</v>
      </c>
      <c r="B84" s="9" t="s">
        <v>314</v>
      </c>
      <c r="C84" s="18" t="s">
        <v>186</v>
      </c>
      <c r="D84" s="18" t="s">
        <v>186</v>
      </c>
      <c r="E84" s="9" t="s">
        <v>187</v>
      </c>
      <c r="F84" s="10">
        <v>22.145813</v>
      </c>
      <c r="G84" s="10">
        <v>-101.01803200000001</v>
      </c>
      <c r="H84" s="18" t="s">
        <v>225</v>
      </c>
      <c r="I84" s="18" t="s">
        <v>250</v>
      </c>
      <c r="J84" s="18" t="s">
        <v>210</v>
      </c>
      <c r="K84" s="18" t="s">
        <v>188</v>
      </c>
      <c r="L84" s="18" t="s">
        <v>228</v>
      </c>
      <c r="M84" s="18" t="s">
        <v>201</v>
      </c>
    </row>
    <row r="85" spans="1:13" x14ac:dyDescent="0.3">
      <c r="A85" s="8">
        <v>135038</v>
      </c>
      <c r="B85" s="9" t="s">
        <v>315</v>
      </c>
      <c r="C85" s="18" t="s">
        <v>186</v>
      </c>
      <c r="D85" s="18" t="s">
        <v>186</v>
      </c>
      <c r="E85" s="9" t="s">
        <v>187</v>
      </c>
      <c r="F85" s="10">
        <v>22.155650999999999</v>
      </c>
      <c r="G85" s="10">
        <v>-100.977767</v>
      </c>
      <c r="H85" s="18" t="s">
        <v>225</v>
      </c>
      <c r="I85" s="18" t="s">
        <v>250</v>
      </c>
      <c r="J85" s="18" t="s">
        <v>194</v>
      </c>
      <c r="K85" s="18" t="s">
        <v>188</v>
      </c>
      <c r="L85" s="18" t="s">
        <v>228</v>
      </c>
      <c r="M85" s="18" t="s">
        <v>225</v>
      </c>
    </row>
    <row r="86" spans="1:13" x14ac:dyDescent="0.3">
      <c r="A86" s="8">
        <v>135039</v>
      </c>
      <c r="B86" s="9" t="s">
        <v>316</v>
      </c>
      <c r="C86" s="18" t="s">
        <v>186</v>
      </c>
      <c r="D86" s="18" t="s">
        <v>186</v>
      </c>
      <c r="E86" s="9" t="s">
        <v>187</v>
      </c>
      <c r="F86" s="10">
        <v>22.145893000000001</v>
      </c>
      <c r="G86" s="10">
        <v>-100.97487</v>
      </c>
      <c r="H86" s="18" t="s">
        <v>225</v>
      </c>
      <c r="I86" s="18" t="s">
        <v>250</v>
      </c>
      <c r="J86" s="18" t="s">
        <v>196</v>
      </c>
      <c r="K86" s="18" t="s">
        <v>188</v>
      </c>
      <c r="L86" s="18" t="s">
        <v>228</v>
      </c>
      <c r="M86" s="18" t="s">
        <v>201</v>
      </c>
    </row>
    <row r="87" spans="1:13" x14ac:dyDescent="0.3">
      <c r="A87" s="8">
        <v>135040</v>
      </c>
      <c r="B87" s="9" t="s">
        <v>317</v>
      </c>
      <c r="C87" s="18" t="s">
        <v>186</v>
      </c>
      <c r="D87" s="18" t="s">
        <v>186</v>
      </c>
      <c r="E87" s="9" t="s">
        <v>187</v>
      </c>
      <c r="F87" s="10">
        <v>22.135617</v>
      </c>
      <c r="G87" s="10">
        <v>-100.96970899999999</v>
      </c>
      <c r="H87" s="18" t="s">
        <v>257</v>
      </c>
      <c r="I87" s="18" t="s">
        <v>188</v>
      </c>
      <c r="J87" s="18" t="s">
        <v>210</v>
      </c>
      <c r="K87" s="18" t="s">
        <v>188</v>
      </c>
      <c r="L87" s="18" t="s">
        <v>228</v>
      </c>
      <c r="M87" s="18" t="s">
        <v>201</v>
      </c>
    </row>
    <row r="88" spans="1:13" x14ac:dyDescent="0.3">
      <c r="A88" s="8">
        <v>135041</v>
      </c>
      <c r="B88" s="9" t="s">
        <v>318</v>
      </c>
      <c r="C88" s="18" t="s">
        <v>186</v>
      </c>
      <c r="D88" s="18" t="s">
        <v>186</v>
      </c>
      <c r="E88" s="9" t="s">
        <v>187</v>
      </c>
      <c r="F88" s="10">
        <v>22.151060000000001</v>
      </c>
      <c r="G88" s="10">
        <v>-100.977659</v>
      </c>
      <c r="H88" s="18" t="s">
        <v>257</v>
      </c>
      <c r="I88" s="18" t="s">
        <v>188</v>
      </c>
      <c r="J88" s="18" t="s">
        <v>194</v>
      </c>
      <c r="K88" s="18" t="s">
        <v>188</v>
      </c>
      <c r="L88" s="18" t="s">
        <v>228</v>
      </c>
      <c r="M88" s="18" t="s">
        <v>225</v>
      </c>
    </row>
    <row r="89" spans="1:13" x14ac:dyDescent="0.3">
      <c r="A89" s="8">
        <v>135042</v>
      </c>
      <c r="B89" s="9" t="s">
        <v>319</v>
      </c>
      <c r="C89" s="18" t="s">
        <v>186</v>
      </c>
      <c r="D89" s="18" t="s">
        <v>186</v>
      </c>
      <c r="E89" s="9" t="s">
        <v>187</v>
      </c>
      <c r="F89" s="10">
        <v>22.159357</v>
      </c>
      <c r="G89" s="10">
        <v>-100.973411</v>
      </c>
      <c r="H89" s="18" t="s">
        <v>225</v>
      </c>
      <c r="I89" s="18" t="s">
        <v>188</v>
      </c>
      <c r="J89" s="18" t="s">
        <v>194</v>
      </c>
      <c r="K89" s="18" t="s">
        <v>188</v>
      </c>
      <c r="L89" s="18" t="s">
        <v>228</v>
      </c>
      <c r="M89" s="18" t="s">
        <v>225</v>
      </c>
    </row>
    <row r="90" spans="1:13" x14ac:dyDescent="0.3">
      <c r="A90" s="8">
        <v>135043</v>
      </c>
      <c r="B90" s="9" t="s">
        <v>320</v>
      </c>
      <c r="C90" s="18" t="s">
        <v>186</v>
      </c>
      <c r="D90" s="18" t="s">
        <v>186</v>
      </c>
      <c r="E90" s="9" t="s">
        <v>187</v>
      </c>
      <c r="F90" s="10">
        <v>22.185756000000001</v>
      </c>
      <c r="G90" s="10">
        <v>-100.944518</v>
      </c>
      <c r="H90" s="18" t="s">
        <v>225</v>
      </c>
      <c r="I90" s="18" t="s">
        <v>188</v>
      </c>
      <c r="J90" s="18" t="s">
        <v>194</v>
      </c>
      <c r="K90" s="18" t="s">
        <v>188</v>
      </c>
      <c r="L90" s="18" t="s">
        <v>228</v>
      </c>
      <c r="M90" s="18" t="s">
        <v>225</v>
      </c>
    </row>
    <row r="91" spans="1:13" x14ac:dyDescent="0.3">
      <c r="A91" s="8">
        <v>135044</v>
      </c>
      <c r="B91" s="9" t="s">
        <v>321</v>
      </c>
      <c r="C91" s="18" t="s">
        <v>186</v>
      </c>
      <c r="D91" s="18" t="s">
        <v>186</v>
      </c>
      <c r="E91" s="9" t="s">
        <v>187</v>
      </c>
      <c r="F91" s="10">
        <v>22.141848</v>
      </c>
      <c r="G91" s="10">
        <v>-100.99747499999999</v>
      </c>
      <c r="H91" s="18" t="s">
        <v>225</v>
      </c>
      <c r="I91" s="18" t="s">
        <v>188</v>
      </c>
      <c r="J91" s="18" t="s">
        <v>194</v>
      </c>
      <c r="K91" s="18" t="s">
        <v>188</v>
      </c>
      <c r="L91" s="18" t="s">
        <v>228</v>
      </c>
      <c r="M91" s="18" t="s">
        <v>225</v>
      </c>
    </row>
    <row r="92" spans="1:13" x14ac:dyDescent="0.3">
      <c r="A92" s="8">
        <v>135045</v>
      </c>
      <c r="B92" s="9" t="s">
        <v>322</v>
      </c>
      <c r="C92" s="18" t="s">
        <v>186</v>
      </c>
      <c r="D92" s="18" t="s">
        <v>186</v>
      </c>
      <c r="E92" s="9" t="s">
        <v>187</v>
      </c>
      <c r="F92" s="10">
        <v>22.151188999999999</v>
      </c>
      <c r="G92" s="10">
        <v>-100.98179</v>
      </c>
      <c r="H92" s="18" t="s">
        <v>257</v>
      </c>
      <c r="I92" s="18" t="s">
        <v>188</v>
      </c>
      <c r="J92" s="18" t="s">
        <v>210</v>
      </c>
      <c r="K92" s="18" t="s">
        <v>188</v>
      </c>
      <c r="L92" s="18" t="s">
        <v>228</v>
      </c>
      <c r="M92" s="18" t="s">
        <v>201</v>
      </c>
    </row>
    <row r="93" spans="1:13" x14ac:dyDescent="0.3">
      <c r="A93" s="8">
        <v>135046</v>
      </c>
      <c r="B93" s="9" t="s">
        <v>323</v>
      </c>
      <c r="C93" s="18" t="s">
        <v>186</v>
      </c>
      <c r="D93" s="18" t="s">
        <v>186</v>
      </c>
      <c r="E93" s="9" t="s">
        <v>187</v>
      </c>
      <c r="F93" s="10">
        <v>22.141282</v>
      </c>
      <c r="G93" s="10">
        <v>-101.00295800000001</v>
      </c>
      <c r="H93" s="18" t="s">
        <v>225</v>
      </c>
      <c r="I93" s="18" t="s">
        <v>188</v>
      </c>
      <c r="J93" s="18" t="s">
        <v>194</v>
      </c>
      <c r="K93" s="18" t="s">
        <v>188</v>
      </c>
      <c r="L93" s="18" t="s">
        <v>228</v>
      </c>
      <c r="M93" s="18" t="s">
        <v>201</v>
      </c>
    </row>
    <row r="94" spans="1:13" x14ac:dyDescent="0.3">
      <c r="A94" s="8">
        <v>135047</v>
      </c>
      <c r="B94" s="9" t="s">
        <v>324</v>
      </c>
      <c r="C94" s="18" t="s">
        <v>186</v>
      </c>
      <c r="D94" s="18" t="s">
        <v>186</v>
      </c>
      <c r="E94" s="9" t="s">
        <v>187</v>
      </c>
      <c r="F94" s="10">
        <v>22.150921</v>
      </c>
      <c r="G94" s="10">
        <v>-100.99382799999999</v>
      </c>
      <c r="H94" s="18" t="s">
        <v>257</v>
      </c>
      <c r="I94" s="18" t="s">
        <v>250</v>
      </c>
      <c r="J94" s="18" t="s">
        <v>210</v>
      </c>
      <c r="K94" s="18" t="s">
        <v>188</v>
      </c>
      <c r="L94" s="18" t="s">
        <v>228</v>
      </c>
      <c r="M94" s="18" t="s">
        <v>201</v>
      </c>
    </row>
    <row r="95" spans="1:13" x14ac:dyDescent="0.3">
      <c r="A95" s="8">
        <v>135048</v>
      </c>
      <c r="B95" s="9" t="s">
        <v>325</v>
      </c>
      <c r="C95" s="18" t="s">
        <v>186</v>
      </c>
      <c r="D95" s="18" t="s">
        <v>186</v>
      </c>
      <c r="E95" s="9" t="s">
        <v>187</v>
      </c>
      <c r="F95" s="10">
        <v>22.142016999999999</v>
      </c>
      <c r="G95" s="10">
        <v>-100.999246</v>
      </c>
      <c r="H95" s="18" t="s">
        <v>257</v>
      </c>
      <c r="I95" s="18" t="s">
        <v>188</v>
      </c>
      <c r="J95" s="18" t="s">
        <v>210</v>
      </c>
      <c r="K95" s="18" t="s">
        <v>188</v>
      </c>
      <c r="L95" s="18" t="s">
        <v>228</v>
      </c>
      <c r="M95" s="18" t="s">
        <v>201</v>
      </c>
    </row>
    <row r="96" spans="1:13" x14ac:dyDescent="0.3">
      <c r="A96" s="8">
        <v>135049</v>
      </c>
      <c r="B96" s="9" t="s">
        <v>326</v>
      </c>
      <c r="C96" s="18" t="s">
        <v>186</v>
      </c>
      <c r="D96" s="18" t="s">
        <v>186</v>
      </c>
      <c r="E96" s="9" t="s">
        <v>187</v>
      </c>
      <c r="F96" s="10">
        <v>22.135010999999999</v>
      </c>
      <c r="G96" s="10">
        <v>-101.0286</v>
      </c>
      <c r="H96" s="18" t="s">
        <v>225</v>
      </c>
      <c r="I96" s="18" t="s">
        <v>188</v>
      </c>
      <c r="J96" s="18" t="s">
        <v>194</v>
      </c>
      <c r="K96" s="18" t="s">
        <v>188</v>
      </c>
      <c r="L96" s="18" t="s">
        <v>228</v>
      </c>
      <c r="M96" s="18" t="s">
        <v>225</v>
      </c>
    </row>
    <row r="97" spans="1:13" x14ac:dyDescent="0.3">
      <c r="A97" s="8">
        <v>135050</v>
      </c>
      <c r="B97" s="9" t="s">
        <v>327</v>
      </c>
      <c r="C97" s="18" t="s">
        <v>186</v>
      </c>
      <c r="D97" s="18" t="s">
        <v>186</v>
      </c>
      <c r="E97" s="9" t="s">
        <v>187</v>
      </c>
      <c r="F97" s="10">
        <v>22.174886999999998</v>
      </c>
      <c r="G97" s="10">
        <v>-100.970825</v>
      </c>
      <c r="H97" s="18" t="s">
        <v>257</v>
      </c>
      <c r="I97" s="18" t="s">
        <v>188</v>
      </c>
      <c r="J97" s="18" t="s">
        <v>210</v>
      </c>
      <c r="K97" s="18" t="s">
        <v>188</v>
      </c>
      <c r="L97" s="18" t="s">
        <v>228</v>
      </c>
      <c r="M97" s="18" t="s">
        <v>201</v>
      </c>
    </row>
    <row r="98" spans="1:13" x14ac:dyDescent="0.3">
      <c r="A98" s="8">
        <v>135051</v>
      </c>
      <c r="B98" s="9" t="s">
        <v>328</v>
      </c>
      <c r="C98" s="18" t="s">
        <v>186</v>
      </c>
      <c r="D98" s="18" t="s">
        <v>186</v>
      </c>
      <c r="E98" s="9" t="s">
        <v>187</v>
      </c>
      <c r="F98" s="10">
        <v>22.151188999999999</v>
      </c>
      <c r="G98" s="10">
        <v>-100.977058</v>
      </c>
      <c r="H98" s="18" t="s">
        <v>225</v>
      </c>
      <c r="I98" s="18" t="s">
        <v>250</v>
      </c>
      <c r="J98" s="18" t="s">
        <v>196</v>
      </c>
      <c r="K98" s="18" t="s">
        <v>188</v>
      </c>
      <c r="L98" s="18" t="s">
        <v>228</v>
      </c>
      <c r="M98" s="18" t="s">
        <v>225</v>
      </c>
    </row>
    <row r="99" spans="1:13" x14ac:dyDescent="0.3">
      <c r="A99" s="8">
        <v>135052</v>
      </c>
      <c r="B99" s="9" t="s">
        <v>329</v>
      </c>
      <c r="C99" s="18" t="s">
        <v>186</v>
      </c>
      <c r="D99" s="18" t="s">
        <v>186</v>
      </c>
      <c r="E99" s="9" t="s">
        <v>187</v>
      </c>
      <c r="F99" s="10">
        <v>22.150981000000002</v>
      </c>
      <c r="G99" s="10">
        <v>-100.977412</v>
      </c>
      <c r="H99" s="18" t="s">
        <v>249</v>
      </c>
      <c r="I99" s="18" t="s">
        <v>188</v>
      </c>
      <c r="J99" s="18" t="s">
        <v>210</v>
      </c>
      <c r="K99" s="18" t="s">
        <v>188</v>
      </c>
      <c r="L99" s="18" t="s">
        <v>228</v>
      </c>
      <c r="M99" s="18" t="s">
        <v>225</v>
      </c>
    </row>
    <row r="100" spans="1:13" x14ac:dyDescent="0.3">
      <c r="A100" s="8">
        <v>135053</v>
      </c>
      <c r="B100" s="9" t="s">
        <v>330</v>
      </c>
      <c r="C100" s="18" t="s">
        <v>186</v>
      </c>
      <c r="D100" s="18" t="s">
        <v>186</v>
      </c>
      <c r="E100" s="9" t="s">
        <v>187</v>
      </c>
      <c r="F100" s="10">
        <v>22.178930999999999</v>
      </c>
      <c r="G100" s="10">
        <v>-101.012861</v>
      </c>
      <c r="H100" s="18" t="s">
        <v>225</v>
      </c>
      <c r="I100" s="18" t="s">
        <v>250</v>
      </c>
      <c r="J100" s="18" t="s">
        <v>210</v>
      </c>
      <c r="K100" s="18" t="s">
        <v>188</v>
      </c>
      <c r="L100" s="18" t="s">
        <v>228</v>
      </c>
      <c r="M100" s="18" t="s">
        <v>201</v>
      </c>
    </row>
    <row r="101" spans="1:13" x14ac:dyDescent="0.3">
      <c r="A101" s="8">
        <v>135054</v>
      </c>
      <c r="B101" s="9" t="s">
        <v>331</v>
      </c>
      <c r="C101" s="18" t="s">
        <v>186</v>
      </c>
      <c r="D101" s="18" t="s">
        <v>186</v>
      </c>
      <c r="E101" s="9" t="s">
        <v>187</v>
      </c>
      <c r="F101" s="10">
        <v>22.140626000000001</v>
      </c>
      <c r="G101" s="10">
        <v>-100.915657</v>
      </c>
      <c r="H101" s="18" t="s">
        <v>225</v>
      </c>
      <c r="I101" s="18" t="s">
        <v>188</v>
      </c>
      <c r="J101" s="18" t="s">
        <v>210</v>
      </c>
      <c r="K101" s="18" t="s">
        <v>188</v>
      </c>
      <c r="L101" s="18" t="s">
        <v>228</v>
      </c>
      <c r="M101" s="18" t="s">
        <v>201</v>
      </c>
    </row>
    <row r="102" spans="1:13" x14ac:dyDescent="0.3">
      <c r="A102" s="8">
        <v>135055</v>
      </c>
      <c r="B102" s="9" t="s">
        <v>332</v>
      </c>
      <c r="C102" s="18" t="s">
        <v>186</v>
      </c>
      <c r="D102" s="18" t="s">
        <v>186</v>
      </c>
      <c r="E102" s="9" t="s">
        <v>187</v>
      </c>
      <c r="F102" s="10">
        <v>22.148854</v>
      </c>
      <c r="G102" s="10">
        <v>-101.008472</v>
      </c>
      <c r="H102" s="18" t="s">
        <v>225</v>
      </c>
      <c r="I102" s="18" t="s">
        <v>250</v>
      </c>
      <c r="J102" s="18" t="s">
        <v>210</v>
      </c>
      <c r="K102" s="18" t="s">
        <v>188</v>
      </c>
      <c r="L102" s="18" t="s">
        <v>228</v>
      </c>
      <c r="M102" s="18" t="s">
        <v>201</v>
      </c>
    </row>
    <row r="103" spans="1:13" x14ac:dyDescent="0.3">
      <c r="A103" s="8">
        <v>135057</v>
      </c>
      <c r="B103" s="9" t="s">
        <v>333</v>
      </c>
      <c r="C103" s="18" t="s">
        <v>186</v>
      </c>
      <c r="D103" s="18" t="s">
        <v>186</v>
      </c>
      <c r="E103" s="9" t="s">
        <v>187</v>
      </c>
      <c r="F103" s="10">
        <v>22.145992</v>
      </c>
      <c r="G103" s="10">
        <v>-100.955118</v>
      </c>
      <c r="H103" s="18" t="s">
        <v>257</v>
      </c>
      <c r="I103" s="18" t="s">
        <v>250</v>
      </c>
      <c r="J103" s="18" t="s">
        <v>194</v>
      </c>
      <c r="K103" s="18" t="s">
        <v>188</v>
      </c>
      <c r="L103" s="18" t="s">
        <v>228</v>
      </c>
      <c r="M103" s="18" t="s">
        <v>201</v>
      </c>
    </row>
    <row r="104" spans="1:13" x14ac:dyDescent="0.3">
      <c r="A104" s="8">
        <v>135058</v>
      </c>
      <c r="B104" s="9" t="s">
        <v>334</v>
      </c>
      <c r="C104" s="18" t="s">
        <v>186</v>
      </c>
      <c r="D104" s="18" t="s">
        <v>186</v>
      </c>
      <c r="E104" s="9" t="s">
        <v>187</v>
      </c>
      <c r="F104" s="10">
        <v>22.165586999999999</v>
      </c>
      <c r="G104" s="10">
        <v>-101.001273</v>
      </c>
      <c r="H104" s="18" t="s">
        <v>225</v>
      </c>
      <c r="I104" s="18" t="s">
        <v>188</v>
      </c>
      <c r="J104" s="18" t="s">
        <v>194</v>
      </c>
      <c r="K104" s="18" t="s">
        <v>201</v>
      </c>
      <c r="L104" s="18" t="s">
        <v>228</v>
      </c>
      <c r="M104" s="18" t="s">
        <v>195</v>
      </c>
    </row>
    <row r="105" spans="1:13" x14ac:dyDescent="0.3">
      <c r="A105" s="8">
        <v>135059</v>
      </c>
      <c r="B105" s="9" t="s">
        <v>335</v>
      </c>
      <c r="C105" s="18" t="s">
        <v>186</v>
      </c>
      <c r="D105" s="18" t="s">
        <v>186</v>
      </c>
      <c r="E105" s="9" t="s">
        <v>187</v>
      </c>
      <c r="F105" s="10">
        <v>22.145108</v>
      </c>
      <c r="G105" s="10">
        <v>-100.989547</v>
      </c>
      <c r="H105" s="18" t="s">
        <v>257</v>
      </c>
      <c r="I105" s="18" t="s">
        <v>250</v>
      </c>
      <c r="J105" s="18" t="s">
        <v>194</v>
      </c>
      <c r="K105" s="18" t="s">
        <v>188</v>
      </c>
      <c r="L105" s="18" t="s">
        <v>228</v>
      </c>
      <c r="M105" s="18" t="s">
        <v>201</v>
      </c>
    </row>
    <row r="106" spans="1:13" x14ac:dyDescent="0.3">
      <c r="A106" s="8">
        <v>135060</v>
      </c>
      <c r="B106" s="9" t="s">
        <v>336</v>
      </c>
      <c r="C106" s="18" t="s">
        <v>186</v>
      </c>
      <c r="D106" s="18" t="s">
        <v>186</v>
      </c>
      <c r="E106" s="9" t="s">
        <v>187</v>
      </c>
      <c r="F106" s="10">
        <v>22.156883000000001</v>
      </c>
      <c r="G106" s="10">
        <v>-100.97848500000001</v>
      </c>
      <c r="H106" s="18" t="s">
        <v>225</v>
      </c>
      <c r="I106" s="18" t="s">
        <v>188</v>
      </c>
      <c r="J106" s="18" t="s">
        <v>194</v>
      </c>
      <c r="K106" s="18" t="s">
        <v>188</v>
      </c>
      <c r="L106" s="18" t="s">
        <v>228</v>
      </c>
      <c r="M106" s="18" t="s">
        <v>225</v>
      </c>
    </row>
    <row r="107" spans="1:13" x14ac:dyDescent="0.3">
      <c r="A107" s="8">
        <v>135062</v>
      </c>
      <c r="B107" s="9" t="s">
        <v>337</v>
      </c>
      <c r="C107" s="18" t="s">
        <v>186</v>
      </c>
      <c r="D107" s="18" t="s">
        <v>186</v>
      </c>
      <c r="E107" s="9" t="s">
        <v>187</v>
      </c>
      <c r="F107" s="10">
        <v>22.153703</v>
      </c>
      <c r="G107" s="10">
        <v>-100.979033</v>
      </c>
      <c r="H107" s="18" t="s">
        <v>225</v>
      </c>
      <c r="I107" s="18" t="s">
        <v>188</v>
      </c>
      <c r="J107" s="18" t="s">
        <v>194</v>
      </c>
      <c r="K107" s="18" t="s">
        <v>188</v>
      </c>
      <c r="L107" s="18" t="s">
        <v>228</v>
      </c>
      <c r="M107" s="18" t="s">
        <v>201</v>
      </c>
    </row>
    <row r="108" spans="1:13" x14ac:dyDescent="0.3">
      <c r="A108" s="8">
        <v>135063</v>
      </c>
      <c r="B108" s="9" t="s">
        <v>338</v>
      </c>
      <c r="C108" s="18" t="s">
        <v>186</v>
      </c>
      <c r="D108" s="18" t="s">
        <v>186</v>
      </c>
      <c r="E108" s="9" t="s">
        <v>187</v>
      </c>
      <c r="F108" s="10">
        <v>22.156724000000001</v>
      </c>
      <c r="G108" s="10">
        <v>-100.975556</v>
      </c>
      <c r="H108" s="18" t="s">
        <v>225</v>
      </c>
      <c r="I108" s="18" t="s">
        <v>188</v>
      </c>
      <c r="J108" s="18" t="s">
        <v>194</v>
      </c>
      <c r="K108" s="18" t="s">
        <v>188</v>
      </c>
      <c r="L108" s="18" t="s">
        <v>228</v>
      </c>
      <c r="M108" s="18" t="s">
        <v>225</v>
      </c>
    </row>
    <row r="109" spans="1:13" x14ac:dyDescent="0.3">
      <c r="A109" s="8">
        <v>135064</v>
      </c>
      <c r="B109" s="9" t="s">
        <v>339</v>
      </c>
      <c r="C109" s="18" t="s">
        <v>186</v>
      </c>
      <c r="D109" s="18" t="s">
        <v>186</v>
      </c>
      <c r="E109" s="9" t="s">
        <v>187</v>
      </c>
      <c r="F109" s="10">
        <v>22.154686999999999</v>
      </c>
      <c r="G109" s="10">
        <v>-100.996617</v>
      </c>
      <c r="H109" s="18" t="s">
        <v>225</v>
      </c>
      <c r="I109" s="18" t="s">
        <v>188</v>
      </c>
      <c r="J109" s="18" t="s">
        <v>210</v>
      </c>
      <c r="K109" s="18" t="s">
        <v>188</v>
      </c>
      <c r="L109" s="18" t="s">
        <v>228</v>
      </c>
      <c r="M109" s="18" t="s">
        <v>201</v>
      </c>
    </row>
    <row r="110" spans="1:13" x14ac:dyDescent="0.3">
      <c r="A110" s="8">
        <v>135065</v>
      </c>
      <c r="B110" s="9" t="s">
        <v>340</v>
      </c>
      <c r="C110" s="18" t="s">
        <v>186</v>
      </c>
      <c r="D110" s="18" t="s">
        <v>186</v>
      </c>
      <c r="E110" s="9" t="s">
        <v>187</v>
      </c>
      <c r="F110" s="10">
        <v>22.14958</v>
      </c>
      <c r="G110" s="10">
        <v>-100.999557</v>
      </c>
      <c r="H110" s="18" t="s">
        <v>257</v>
      </c>
      <c r="I110" s="18" t="s">
        <v>250</v>
      </c>
      <c r="J110" s="18" t="s">
        <v>210</v>
      </c>
      <c r="K110" s="18" t="s">
        <v>188</v>
      </c>
      <c r="L110" s="18" t="s">
        <v>228</v>
      </c>
      <c r="M110" s="18" t="s">
        <v>225</v>
      </c>
    </row>
    <row r="111" spans="1:13" x14ac:dyDescent="0.3">
      <c r="A111" s="8">
        <v>135066</v>
      </c>
      <c r="B111" s="9" t="s">
        <v>341</v>
      </c>
      <c r="C111" s="18" t="s">
        <v>186</v>
      </c>
      <c r="D111" s="18" t="s">
        <v>186</v>
      </c>
      <c r="E111" s="9" t="s">
        <v>187</v>
      </c>
      <c r="F111" s="10">
        <v>22.16835</v>
      </c>
      <c r="G111" s="10">
        <v>-100.972466</v>
      </c>
      <c r="H111" s="18" t="s">
        <v>257</v>
      </c>
      <c r="I111" s="18" t="s">
        <v>250</v>
      </c>
      <c r="J111" s="18" t="s">
        <v>210</v>
      </c>
      <c r="K111" s="18" t="s">
        <v>188</v>
      </c>
      <c r="L111" s="18" t="s">
        <v>228</v>
      </c>
      <c r="M111" s="18" t="s">
        <v>201</v>
      </c>
    </row>
    <row r="112" spans="1:13" x14ac:dyDescent="0.3">
      <c r="A112" s="8">
        <v>135069</v>
      </c>
      <c r="B112" s="9" t="s">
        <v>342</v>
      </c>
      <c r="C112" s="18" t="s">
        <v>186</v>
      </c>
      <c r="D112" s="18" t="s">
        <v>186</v>
      </c>
      <c r="E112" s="9" t="s">
        <v>187</v>
      </c>
      <c r="F112" s="10">
        <v>22.140129000000002</v>
      </c>
      <c r="G112" s="10">
        <v>-100.944872</v>
      </c>
      <c r="H112" s="18" t="s">
        <v>257</v>
      </c>
      <c r="I112" s="18" t="s">
        <v>188</v>
      </c>
      <c r="J112" s="18" t="s">
        <v>196</v>
      </c>
      <c r="K112" s="18" t="s">
        <v>188</v>
      </c>
      <c r="L112" s="18" t="s">
        <v>228</v>
      </c>
      <c r="M112" s="18" t="s">
        <v>201</v>
      </c>
    </row>
    <row r="113" spans="1:13" x14ac:dyDescent="0.3">
      <c r="A113" s="8">
        <v>135070</v>
      </c>
      <c r="B113" s="9" t="s">
        <v>343</v>
      </c>
      <c r="C113" s="18" t="s">
        <v>186</v>
      </c>
      <c r="D113" s="18" t="s">
        <v>186</v>
      </c>
      <c r="E113" s="9" t="s">
        <v>187</v>
      </c>
      <c r="F113" s="10">
        <v>22.152918</v>
      </c>
      <c r="G113" s="10">
        <v>-100.915164</v>
      </c>
      <c r="H113" s="18" t="s">
        <v>225</v>
      </c>
      <c r="I113" s="18" t="s">
        <v>188</v>
      </c>
      <c r="J113" s="18" t="s">
        <v>194</v>
      </c>
      <c r="K113" s="18" t="s">
        <v>188</v>
      </c>
      <c r="L113" s="18" t="s">
        <v>228</v>
      </c>
      <c r="M113" s="18" t="s">
        <v>201</v>
      </c>
    </row>
    <row r="114" spans="1:13" x14ac:dyDescent="0.3">
      <c r="A114" s="8">
        <v>135071</v>
      </c>
      <c r="B114" s="9" t="s">
        <v>344</v>
      </c>
      <c r="C114" s="18" t="s">
        <v>186</v>
      </c>
      <c r="D114" s="18" t="s">
        <v>186</v>
      </c>
      <c r="E114" s="9" t="s">
        <v>187</v>
      </c>
      <c r="F114" s="10">
        <v>22.126374999999999</v>
      </c>
      <c r="G114" s="10">
        <v>-100.910926</v>
      </c>
      <c r="H114" s="18" t="s">
        <v>249</v>
      </c>
      <c r="I114" s="18" t="s">
        <v>250</v>
      </c>
      <c r="J114" s="18" t="s">
        <v>194</v>
      </c>
      <c r="K114" s="18" t="s">
        <v>188</v>
      </c>
      <c r="L114" s="18" t="s">
        <v>228</v>
      </c>
      <c r="M114" s="18" t="s">
        <v>201</v>
      </c>
    </row>
    <row r="115" spans="1:13" x14ac:dyDescent="0.3">
      <c r="A115" s="8">
        <v>135072</v>
      </c>
      <c r="B115" s="9" t="s">
        <v>345</v>
      </c>
      <c r="C115" s="18" t="s">
        <v>186</v>
      </c>
      <c r="D115" s="18" t="s">
        <v>186</v>
      </c>
      <c r="E115" s="9" t="s">
        <v>187</v>
      </c>
      <c r="F115" s="10">
        <v>22.149191999999999</v>
      </c>
      <c r="G115" s="10">
        <v>-101.00293600000001</v>
      </c>
      <c r="H115" s="18" t="s">
        <v>225</v>
      </c>
      <c r="I115" s="18" t="s">
        <v>188</v>
      </c>
      <c r="J115" s="18" t="s">
        <v>194</v>
      </c>
      <c r="K115" s="18" t="s">
        <v>188</v>
      </c>
      <c r="L115" s="18" t="s">
        <v>228</v>
      </c>
      <c r="M115" s="18" t="s">
        <v>225</v>
      </c>
    </row>
    <row r="116" spans="1:13" x14ac:dyDescent="0.3">
      <c r="A116" s="8">
        <v>135073</v>
      </c>
      <c r="B116" s="9" t="s">
        <v>346</v>
      </c>
      <c r="C116" s="18" t="s">
        <v>186</v>
      </c>
      <c r="D116" s="18" t="s">
        <v>186</v>
      </c>
      <c r="E116" s="9" t="s">
        <v>187</v>
      </c>
      <c r="F116" s="10">
        <v>22.147175000000001</v>
      </c>
      <c r="G116" s="10">
        <v>-100.97426900000001</v>
      </c>
      <c r="H116" s="18" t="s">
        <v>257</v>
      </c>
      <c r="I116" s="18" t="s">
        <v>250</v>
      </c>
      <c r="J116" s="18" t="s">
        <v>210</v>
      </c>
      <c r="K116" s="18" t="s">
        <v>188</v>
      </c>
      <c r="L116" s="18" t="s">
        <v>228</v>
      </c>
      <c r="M116" s="18" t="s">
        <v>201</v>
      </c>
    </row>
    <row r="117" spans="1:13" x14ac:dyDescent="0.3">
      <c r="A117" s="8">
        <v>135074</v>
      </c>
      <c r="B117" s="9" t="s">
        <v>347</v>
      </c>
      <c r="C117" s="18" t="s">
        <v>186</v>
      </c>
      <c r="D117" s="18" t="s">
        <v>186</v>
      </c>
      <c r="E117" s="9" t="s">
        <v>187</v>
      </c>
      <c r="F117" s="10">
        <v>22.149688999999999</v>
      </c>
      <c r="G117" s="10">
        <v>-100.99952500000001</v>
      </c>
      <c r="H117" s="18" t="s">
        <v>257</v>
      </c>
      <c r="I117" s="18" t="s">
        <v>250</v>
      </c>
      <c r="J117" s="18" t="s">
        <v>210</v>
      </c>
      <c r="K117" s="18" t="s">
        <v>188</v>
      </c>
      <c r="L117" s="18" t="s">
        <v>228</v>
      </c>
      <c r="M117" s="18" t="s">
        <v>195</v>
      </c>
    </row>
    <row r="118" spans="1:13" x14ac:dyDescent="0.3">
      <c r="A118" s="8">
        <v>135075</v>
      </c>
      <c r="B118" s="9" t="s">
        <v>348</v>
      </c>
      <c r="C118" s="18" t="s">
        <v>186</v>
      </c>
      <c r="D118" s="18" t="s">
        <v>186</v>
      </c>
      <c r="E118" s="9" t="s">
        <v>187</v>
      </c>
      <c r="F118" s="10">
        <v>22.139572999999999</v>
      </c>
      <c r="G118" s="10">
        <v>-100.991564</v>
      </c>
      <c r="H118" s="18" t="s">
        <v>225</v>
      </c>
      <c r="I118" s="18" t="s">
        <v>188</v>
      </c>
      <c r="J118" s="18" t="s">
        <v>194</v>
      </c>
      <c r="K118" s="18" t="s">
        <v>188</v>
      </c>
      <c r="L118" s="18" t="s">
        <v>228</v>
      </c>
      <c r="M118" s="18" t="s">
        <v>201</v>
      </c>
    </row>
    <row r="119" spans="1:13" x14ac:dyDescent="0.3">
      <c r="A119" s="8">
        <v>135076</v>
      </c>
      <c r="B119" s="9" t="s">
        <v>349</v>
      </c>
      <c r="C119" s="18" t="s">
        <v>186</v>
      </c>
      <c r="D119" s="18" t="s">
        <v>186</v>
      </c>
      <c r="E119" s="9" t="s">
        <v>187</v>
      </c>
      <c r="F119" s="10">
        <v>22.181017000000001</v>
      </c>
      <c r="G119" s="10">
        <v>-100.973614</v>
      </c>
      <c r="H119" s="18" t="s">
        <v>257</v>
      </c>
      <c r="I119" s="18" t="s">
        <v>188</v>
      </c>
      <c r="J119" s="18" t="s">
        <v>210</v>
      </c>
      <c r="K119" s="18" t="s">
        <v>188</v>
      </c>
      <c r="L119" s="18" t="s">
        <v>228</v>
      </c>
      <c r="M119" s="18" t="s">
        <v>201</v>
      </c>
    </row>
    <row r="120" spans="1:13" x14ac:dyDescent="0.3">
      <c r="A120" s="8">
        <v>135079</v>
      </c>
      <c r="B120" s="9" t="s">
        <v>350</v>
      </c>
      <c r="C120" s="18" t="s">
        <v>186</v>
      </c>
      <c r="D120" s="18" t="s">
        <v>186</v>
      </c>
      <c r="E120" s="9" t="s">
        <v>187</v>
      </c>
      <c r="F120" s="10">
        <v>22.156376000000002</v>
      </c>
      <c r="G120" s="10">
        <v>-100.998355</v>
      </c>
      <c r="H120" s="18" t="s">
        <v>225</v>
      </c>
      <c r="I120" s="18" t="s">
        <v>188</v>
      </c>
      <c r="J120" s="18" t="s">
        <v>210</v>
      </c>
      <c r="K120" s="18" t="s">
        <v>188</v>
      </c>
      <c r="L120" s="18" t="s">
        <v>228</v>
      </c>
      <c r="M120" s="18" t="s">
        <v>225</v>
      </c>
    </row>
    <row r="121" spans="1:13" x14ac:dyDescent="0.3">
      <c r="A121" s="8">
        <v>135080</v>
      </c>
      <c r="B121" s="9" t="s">
        <v>351</v>
      </c>
      <c r="C121" s="18" t="s">
        <v>186</v>
      </c>
      <c r="D121" s="18" t="s">
        <v>186</v>
      </c>
      <c r="E121" s="9" t="s">
        <v>187</v>
      </c>
      <c r="F121" s="10">
        <v>22.145008000000001</v>
      </c>
      <c r="G121" s="10">
        <v>-100.997969</v>
      </c>
      <c r="H121" s="18" t="s">
        <v>225</v>
      </c>
      <c r="I121" s="18" t="s">
        <v>250</v>
      </c>
      <c r="J121" s="18" t="s">
        <v>210</v>
      </c>
      <c r="K121" s="18" t="s">
        <v>188</v>
      </c>
      <c r="L121" s="18" t="s">
        <v>228</v>
      </c>
      <c r="M121" s="18" t="s">
        <v>225</v>
      </c>
    </row>
    <row r="122" spans="1:13" x14ac:dyDescent="0.3">
      <c r="A122" s="8">
        <v>135081</v>
      </c>
      <c r="B122" s="9" t="s">
        <v>352</v>
      </c>
      <c r="C122" s="18" t="s">
        <v>186</v>
      </c>
      <c r="D122" s="18" t="s">
        <v>186</v>
      </c>
      <c r="E122" s="9" t="s">
        <v>187</v>
      </c>
      <c r="F122" s="10">
        <v>22.164842</v>
      </c>
      <c r="G122" s="10">
        <v>-100.960493</v>
      </c>
      <c r="H122" s="18" t="s">
        <v>225</v>
      </c>
      <c r="I122" s="18" t="s">
        <v>188</v>
      </c>
      <c r="J122" s="18" t="s">
        <v>194</v>
      </c>
      <c r="K122" s="18" t="s">
        <v>188</v>
      </c>
      <c r="L122" s="18" t="s">
        <v>228</v>
      </c>
      <c r="M122" s="18" t="s">
        <v>225</v>
      </c>
    </row>
    <row r="123" spans="1:13" x14ac:dyDescent="0.3">
      <c r="A123" s="8">
        <v>135085</v>
      </c>
      <c r="B123" s="9" t="s">
        <v>353</v>
      </c>
      <c r="C123" s="18" t="s">
        <v>186</v>
      </c>
      <c r="D123" s="18" t="s">
        <v>186</v>
      </c>
      <c r="E123" s="9" t="s">
        <v>187</v>
      </c>
      <c r="F123" s="10">
        <v>22.150801999999999</v>
      </c>
      <c r="G123" s="10">
        <v>-100.98268</v>
      </c>
      <c r="H123" s="18" t="s">
        <v>225</v>
      </c>
      <c r="I123" s="18" t="s">
        <v>188</v>
      </c>
      <c r="J123" s="18" t="s">
        <v>194</v>
      </c>
      <c r="K123" s="18" t="s">
        <v>188</v>
      </c>
      <c r="L123" s="18" t="s">
        <v>228</v>
      </c>
      <c r="M123" s="18" t="s">
        <v>195</v>
      </c>
    </row>
    <row r="124" spans="1:13" x14ac:dyDescent="0.3">
      <c r="A124" s="8">
        <v>135086</v>
      </c>
      <c r="B124" s="9" t="s">
        <v>354</v>
      </c>
      <c r="C124" s="18" t="s">
        <v>186</v>
      </c>
      <c r="D124" s="18" t="s">
        <v>186</v>
      </c>
      <c r="E124" s="9" t="s">
        <v>187</v>
      </c>
      <c r="F124" s="10">
        <v>22.141421000000001</v>
      </c>
      <c r="G124" s="10">
        <v>-101.013955</v>
      </c>
      <c r="H124" s="18" t="s">
        <v>225</v>
      </c>
      <c r="I124" s="18" t="s">
        <v>188</v>
      </c>
      <c r="J124" s="18" t="s">
        <v>194</v>
      </c>
      <c r="K124" s="18" t="s">
        <v>201</v>
      </c>
      <c r="L124" s="18" t="s">
        <v>228</v>
      </c>
      <c r="M124" s="18" t="s">
        <v>201</v>
      </c>
    </row>
    <row r="125" spans="1:13" x14ac:dyDescent="0.3">
      <c r="A125" s="8">
        <v>135088</v>
      </c>
      <c r="B125" s="9" t="s">
        <v>355</v>
      </c>
      <c r="C125" s="18" t="s">
        <v>198</v>
      </c>
      <c r="D125" s="18" t="s">
        <v>199</v>
      </c>
      <c r="E125" s="9" t="s">
        <v>187</v>
      </c>
      <c r="F125" s="10">
        <v>18.876011299999998</v>
      </c>
      <c r="G125" s="10">
        <v>-99.219889600000002</v>
      </c>
      <c r="H125" s="18" t="s">
        <v>225</v>
      </c>
      <c r="I125" s="18" t="s">
        <v>188</v>
      </c>
      <c r="J125" s="18" t="s">
        <v>196</v>
      </c>
      <c r="K125" s="18" t="s">
        <v>188</v>
      </c>
      <c r="L125" s="18" t="s">
        <v>228</v>
      </c>
      <c r="M125" s="18" t="s">
        <v>195</v>
      </c>
    </row>
    <row r="126" spans="1:13" x14ac:dyDescent="0.3">
      <c r="A126" s="8">
        <v>135106</v>
      </c>
      <c r="B126" s="9" t="s">
        <v>356</v>
      </c>
      <c r="C126" s="18" t="s">
        <v>186</v>
      </c>
      <c r="D126" s="18" t="s">
        <v>186</v>
      </c>
      <c r="E126" s="9" t="s">
        <v>187</v>
      </c>
      <c r="F126" s="10">
        <v>22.149708799999999</v>
      </c>
      <c r="G126" s="10">
        <v>-100.9760928</v>
      </c>
      <c r="H126" s="18" t="s">
        <v>257</v>
      </c>
      <c r="I126" s="18" t="s">
        <v>297</v>
      </c>
      <c r="J126" s="18" t="s">
        <v>194</v>
      </c>
      <c r="K126" s="18" t="s">
        <v>188</v>
      </c>
      <c r="L126" s="18" t="s">
        <v>226</v>
      </c>
      <c r="M126" s="18" t="s">
        <v>225</v>
      </c>
    </row>
    <row r="127" spans="1:13" x14ac:dyDescent="0.3">
      <c r="A127" s="8">
        <v>135108</v>
      </c>
      <c r="B127" s="9" t="s">
        <v>357</v>
      </c>
      <c r="C127" s="18" t="s">
        <v>186</v>
      </c>
      <c r="D127" s="18" t="s">
        <v>186</v>
      </c>
      <c r="E127" s="9" t="s">
        <v>187</v>
      </c>
      <c r="F127" s="10">
        <v>22.136253400000001</v>
      </c>
      <c r="G127" s="10">
        <v>-100.9335852</v>
      </c>
      <c r="H127" s="18" t="s">
        <v>225</v>
      </c>
      <c r="I127" s="18" t="s">
        <v>188</v>
      </c>
      <c r="J127" s="18" t="s">
        <v>196</v>
      </c>
      <c r="K127" s="18" t="s">
        <v>188</v>
      </c>
      <c r="L127" s="18" t="s">
        <v>228</v>
      </c>
      <c r="M127" s="18" t="s">
        <v>225</v>
      </c>
    </row>
    <row r="128" spans="1:13" x14ac:dyDescent="0.3">
      <c r="A128" s="8">
        <v>135109</v>
      </c>
      <c r="B128" s="9" t="s">
        <v>358</v>
      </c>
      <c r="C128" s="18" t="s">
        <v>198</v>
      </c>
      <c r="D128" s="18" t="s">
        <v>199</v>
      </c>
      <c r="E128" s="9" t="s">
        <v>187</v>
      </c>
      <c r="F128" s="10">
        <v>18.921784800000001</v>
      </c>
      <c r="G128" s="10">
        <v>-99.235349900000003</v>
      </c>
      <c r="H128" s="18" t="s">
        <v>257</v>
      </c>
      <c r="I128" s="18" t="s">
        <v>188</v>
      </c>
      <c r="J128" s="18" t="s">
        <v>194</v>
      </c>
      <c r="K128" s="18" t="s">
        <v>188</v>
      </c>
      <c r="L128" s="18" t="s">
        <v>228</v>
      </c>
      <c r="M128" s="18" t="s">
        <v>225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Consumers</vt:lpstr>
      <vt:lpstr>Consumer Preferences</vt:lpstr>
      <vt:lpstr>Ratings</vt:lpstr>
      <vt:lpstr>Restaurant Cuisines</vt:lpstr>
      <vt:lpstr>Restaurants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Aiswarya Menon</dc:creator>
  <cp:lastModifiedBy>aishmenon019@gmail.com</cp:lastModifiedBy>
  <dcterms:created xsi:type="dcterms:W3CDTF">2026-10-08T14:36:23Z</dcterms:created>
  <dcterms:modified xsi:type="dcterms:W3CDTF">2026-10-10T12:38:45Z</dcterms:modified>
</cp:coreProperties>
</file>